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10245" yWindow="-15" windowWidth="10290" windowHeight="7635" activeTab="6"/>
  </bookViews>
  <sheets>
    <sheet name="Phuong phap" sheetId="7" r:id="rId1"/>
    <sheet name="DGL" sheetId="5" r:id="rId2"/>
    <sheet name="LDKT" sheetId="1" r:id="rId3"/>
    <sheet name="Dcu" sheetId="2" r:id="rId4"/>
    <sheet name="VL" sheetId="3" r:id="rId5"/>
    <sheet name="TB" sheetId="4" r:id="rId6"/>
    <sheet name="TH dongia" sheetId="6" r:id="rId7"/>
  </sheets>
  <externalReferences>
    <externalReference r:id="rId8"/>
  </externalReferences>
  <definedNames>
    <definedName name="_xlnm._FilterDatabase" localSheetId="3" hidden="1">Dcu!$A$3:$G$465</definedName>
    <definedName name="_xlnm._FilterDatabase" localSheetId="5" hidden="1">TB!$B$1:$J$182</definedName>
    <definedName name="_xlnm._FilterDatabase" localSheetId="4" hidden="1">VL!$A$4:$G$305</definedName>
    <definedName name="_xlnm.Print_Titles" localSheetId="0">'Phuong phap'!$2:$2</definedName>
    <definedName name="_xlnm.Print_Titles" localSheetId="6">'TH dongia'!$4:$4</definedName>
  </definedNames>
  <calcPr calcId="124519"/>
</workbook>
</file>

<file path=xl/calcChain.xml><?xml version="1.0" encoding="utf-8"?>
<calcChain xmlns="http://schemas.openxmlformats.org/spreadsheetml/2006/main">
  <c r="J64" i="4"/>
  <c r="H182"/>
  <c r="H181"/>
  <c r="H180"/>
  <c r="H179"/>
  <c r="H178"/>
  <c r="H177"/>
  <c r="H176"/>
  <c r="H175"/>
  <c r="H174"/>
  <c r="H173"/>
  <c r="H172"/>
  <c r="H171"/>
  <c r="H166"/>
  <c r="H165"/>
  <c r="H164"/>
  <c r="H163"/>
  <c r="H162"/>
  <c r="H161"/>
  <c r="H160"/>
  <c r="H159"/>
  <c r="H158"/>
  <c r="H157"/>
  <c r="H156"/>
  <c r="H155"/>
  <c r="H154"/>
  <c r="H153"/>
  <c r="H143"/>
  <c r="H144"/>
  <c r="H145"/>
  <c r="H146"/>
  <c r="H147"/>
  <c r="H148"/>
  <c r="H149"/>
  <c r="H150"/>
  <c r="H151"/>
  <c r="H121"/>
  <c r="H134"/>
  <c r="H135"/>
  <c r="H136"/>
  <c r="H137"/>
  <c r="H138"/>
  <c r="H139"/>
  <c r="H140"/>
  <c r="H141"/>
  <c r="H112"/>
  <c r="H113"/>
  <c r="H114"/>
  <c r="H115"/>
  <c r="H116"/>
  <c r="H117"/>
  <c r="H118"/>
  <c r="H119"/>
  <c r="H120"/>
  <c r="H111"/>
  <c r="H108"/>
  <c r="H107"/>
  <c r="H106"/>
  <c r="H105"/>
  <c r="H103"/>
  <c r="H104"/>
  <c r="H101"/>
  <c r="H102"/>
  <c r="H99"/>
  <c r="H100"/>
  <c r="H97"/>
  <c r="H98"/>
  <c r="H84"/>
  <c r="H85"/>
  <c r="H86"/>
  <c r="H87"/>
  <c r="H88"/>
  <c r="H89"/>
  <c r="H90"/>
  <c r="H91"/>
  <c r="H92"/>
  <c r="H93"/>
  <c r="H94"/>
  <c r="H74"/>
  <c r="H75"/>
  <c r="H76"/>
  <c r="H77"/>
  <c r="H78"/>
  <c r="H79"/>
  <c r="H80"/>
  <c r="H81"/>
  <c r="H82"/>
  <c r="H54"/>
  <c r="H55"/>
  <c r="H56"/>
  <c r="H57"/>
  <c r="H58"/>
  <c r="H59"/>
  <c r="H60"/>
  <c r="H61"/>
  <c r="H62"/>
  <c r="H64"/>
  <c r="H65"/>
  <c r="H66"/>
  <c r="H67"/>
  <c r="H68"/>
  <c r="H69"/>
  <c r="H70"/>
  <c r="H71"/>
  <c r="H72"/>
  <c r="H41"/>
  <c r="H42"/>
  <c r="H43"/>
  <c r="H44"/>
  <c r="H46"/>
  <c r="H47"/>
  <c r="H48"/>
  <c r="H49"/>
  <c r="H50"/>
  <c r="H51"/>
  <c r="H52"/>
  <c r="H40"/>
  <c r="H10"/>
  <c r="H5"/>
  <c r="H6"/>
  <c r="H8"/>
  <c r="H9"/>
  <c r="H4"/>
  <c r="J5"/>
  <c r="J6"/>
  <c r="J8"/>
  <c r="J9"/>
  <c r="J10"/>
  <c r="J11"/>
  <c r="J40"/>
  <c r="J41"/>
  <c r="J42"/>
  <c r="J43"/>
  <c r="J44"/>
  <c r="J46"/>
  <c r="J47"/>
  <c r="J48"/>
  <c r="J49"/>
  <c r="J50"/>
  <c r="J51"/>
  <c r="J52"/>
  <c r="J54"/>
  <c r="J55"/>
  <c r="J56"/>
  <c r="J57"/>
  <c r="J58"/>
  <c r="J59"/>
  <c r="J60"/>
  <c r="J61"/>
  <c r="J62"/>
  <c r="J65"/>
  <c r="J66"/>
  <c r="J67"/>
  <c r="J68"/>
  <c r="J69"/>
  <c r="J70"/>
  <c r="J71"/>
  <c r="J72"/>
  <c r="J74"/>
  <c r="J75"/>
  <c r="J76"/>
  <c r="J77"/>
  <c r="J78"/>
  <c r="J79"/>
  <c r="J80"/>
  <c r="J81"/>
  <c r="J82"/>
  <c r="J84"/>
  <c r="J85"/>
  <c r="J86"/>
  <c r="J87"/>
  <c r="J88"/>
  <c r="J89"/>
  <c r="J90"/>
  <c r="J91"/>
  <c r="J92"/>
  <c r="J93"/>
  <c r="J94"/>
  <c r="J97"/>
  <c r="J98"/>
  <c r="J99"/>
  <c r="J100"/>
  <c r="J101"/>
  <c r="J102"/>
  <c r="J103"/>
  <c r="J104"/>
  <c r="J105"/>
  <c r="J106"/>
  <c r="J107"/>
  <c r="J108"/>
  <c r="J111"/>
  <c r="J112"/>
  <c r="J113"/>
  <c r="J114"/>
  <c r="J115"/>
  <c r="J116"/>
  <c r="J117"/>
  <c r="J118"/>
  <c r="J119"/>
  <c r="J120"/>
  <c r="J121"/>
  <c r="J134"/>
  <c r="J135"/>
  <c r="J136"/>
  <c r="J137"/>
  <c r="J138"/>
  <c r="J139"/>
  <c r="J140"/>
  <c r="J141"/>
  <c r="J143"/>
  <c r="J144"/>
  <c r="J145"/>
  <c r="J146"/>
  <c r="J147"/>
  <c r="J148"/>
  <c r="J149"/>
  <c r="J150"/>
  <c r="J151"/>
  <c r="J153"/>
  <c r="J154"/>
  <c r="J155"/>
  <c r="J156"/>
  <c r="J157"/>
  <c r="J158"/>
  <c r="J159"/>
  <c r="J160"/>
  <c r="J161"/>
  <c r="J162"/>
  <c r="J163"/>
  <c r="J164"/>
  <c r="J165"/>
  <c r="J166"/>
  <c r="J171"/>
  <c r="J172"/>
  <c r="J173"/>
  <c r="J174"/>
  <c r="J175"/>
  <c r="J176"/>
  <c r="J177"/>
  <c r="J178"/>
  <c r="J179"/>
  <c r="J180"/>
  <c r="J181"/>
  <c r="J182"/>
  <c r="J4"/>
  <c r="F305" i="3"/>
  <c r="F304"/>
  <c r="F303"/>
  <c r="F302"/>
  <c r="F301"/>
  <c r="F300"/>
  <c r="F299"/>
  <c r="F298"/>
  <c r="F297"/>
  <c r="F296"/>
  <c r="F295"/>
  <c r="F294"/>
  <c r="F292"/>
  <c r="F291"/>
  <c r="F290"/>
  <c r="F289"/>
  <c r="F288"/>
  <c r="F287"/>
  <c r="F286"/>
  <c r="F285"/>
  <c r="F284"/>
  <c r="F283"/>
  <c r="F282"/>
  <c r="F281"/>
  <c r="F280"/>
  <c r="F279"/>
  <c r="F278"/>
  <c r="F277"/>
  <c r="F276"/>
  <c r="F274"/>
  <c r="F273"/>
  <c r="F272"/>
  <c r="F271"/>
  <c r="F270"/>
  <c r="F269"/>
  <c r="F268"/>
  <c r="F267"/>
  <c r="F266"/>
  <c r="F265"/>
  <c r="F264"/>
  <c r="F263"/>
  <c r="F262"/>
  <c r="F261"/>
  <c r="F260"/>
  <c r="F259"/>
  <c r="F258"/>
  <c r="F256"/>
  <c r="F255"/>
  <c r="F254"/>
  <c r="F253"/>
  <c r="F252"/>
  <c r="F251"/>
  <c r="F250"/>
  <c r="F249"/>
  <c r="F248"/>
  <c r="F247"/>
  <c r="F246"/>
  <c r="F245"/>
  <c r="F244"/>
  <c r="F243"/>
  <c r="F242"/>
  <c r="F241"/>
  <c r="F239"/>
  <c r="F238"/>
  <c r="F237"/>
  <c r="F236"/>
  <c r="F235"/>
  <c r="F234"/>
  <c r="F232"/>
  <c r="F231"/>
  <c r="F230"/>
  <c r="F229"/>
  <c r="F228"/>
  <c r="F227"/>
  <c r="F226"/>
  <c r="F225"/>
  <c r="F224"/>
  <c r="F223"/>
  <c r="F221"/>
  <c r="F220"/>
  <c r="F219"/>
  <c r="F218"/>
  <c r="F217"/>
  <c r="F216"/>
  <c r="F215"/>
  <c r="F214"/>
  <c r="F213"/>
  <c r="F212"/>
  <c r="F211"/>
  <c r="F210"/>
  <c r="F209"/>
  <c r="F208"/>
  <c r="F207"/>
  <c r="F206"/>
  <c r="F205"/>
  <c r="F204"/>
  <c r="F202"/>
  <c r="F201"/>
  <c r="F200"/>
  <c r="F199"/>
  <c r="F198"/>
  <c r="F197"/>
  <c r="F196"/>
  <c r="F195"/>
  <c r="F194"/>
  <c r="F193"/>
  <c r="F192"/>
  <c r="F179"/>
  <c r="F178"/>
  <c r="F177"/>
  <c r="F176"/>
  <c r="F175"/>
  <c r="F174"/>
  <c r="F173"/>
  <c r="F172"/>
  <c r="F171"/>
  <c r="F170"/>
  <c r="F168"/>
  <c r="F167"/>
  <c r="F166"/>
  <c r="F165"/>
  <c r="F164"/>
  <c r="F163"/>
  <c r="F162"/>
  <c r="F161"/>
  <c r="F160"/>
  <c r="F159"/>
  <c r="F158"/>
  <c r="F157"/>
  <c r="F156"/>
  <c r="F155"/>
  <c r="F154"/>
  <c r="F152"/>
  <c r="F151"/>
  <c r="F150"/>
  <c r="F149"/>
  <c r="F148"/>
  <c r="F147"/>
  <c r="F146"/>
  <c r="F145"/>
  <c r="F144"/>
  <c r="F143"/>
  <c r="F142"/>
  <c r="F141"/>
  <c r="F140"/>
  <c r="F137"/>
  <c r="F136"/>
  <c r="F135"/>
  <c r="F134"/>
  <c r="F133"/>
  <c r="F132"/>
  <c r="F131"/>
  <c r="F130"/>
  <c r="F129"/>
  <c r="F128"/>
  <c r="F127"/>
  <c r="F125"/>
  <c r="F124"/>
  <c r="F123"/>
  <c r="F122"/>
  <c r="F121"/>
  <c r="F120"/>
  <c r="F119"/>
  <c r="F118"/>
  <c r="F117"/>
  <c r="F116"/>
  <c r="F115"/>
  <c r="F114"/>
  <c r="F113"/>
  <c r="F112"/>
  <c r="F111"/>
  <c r="F110"/>
  <c r="F109"/>
  <c r="F108"/>
  <c r="F106"/>
  <c r="F105"/>
  <c r="F104"/>
  <c r="F103"/>
  <c r="F102"/>
  <c r="F101"/>
  <c r="F100"/>
  <c r="F99"/>
  <c r="F98"/>
  <c r="F97"/>
  <c r="F96"/>
  <c r="F95"/>
  <c r="F94"/>
  <c r="F93"/>
  <c r="F92"/>
  <c r="F91"/>
  <c r="F89"/>
  <c r="F88"/>
  <c r="F87"/>
  <c r="F86"/>
  <c r="F85"/>
  <c r="F84"/>
  <c r="F83"/>
  <c r="F82"/>
  <c r="F81"/>
  <c r="F80"/>
  <c r="F79"/>
  <c r="F78"/>
  <c r="F77"/>
  <c r="F76"/>
  <c r="F74"/>
  <c r="F73"/>
  <c r="F72"/>
  <c r="F71"/>
  <c r="F70"/>
  <c r="F69"/>
  <c r="F68"/>
  <c r="F67"/>
  <c r="F65"/>
  <c r="F64"/>
  <c r="F63"/>
  <c r="F62"/>
  <c r="F53"/>
  <c r="F52"/>
  <c r="F51"/>
  <c r="F50"/>
  <c r="F49"/>
  <c r="F48"/>
  <c r="F47"/>
  <c r="F27"/>
  <c r="F26"/>
  <c r="F25"/>
  <c r="F24"/>
  <c r="F23"/>
  <c r="F22"/>
  <c r="F21"/>
  <c r="F19"/>
  <c r="F18"/>
  <c r="F17"/>
  <c r="F16"/>
  <c r="F15"/>
  <c r="F13"/>
  <c r="F12"/>
  <c r="F11"/>
  <c r="F10"/>
  <c r="F9"/>
  <c r="F8"/>
  <c r="F7"/>
  <c r="F465" i="2"/>
  <c r="F464"/>
  <c r="F463"/>
  <c r="F462"/>
  <c r="F461"/>
  <c r="F460"/>
  <c r="F459"/>
  <c r="F458"/>
  <c r="F457"/>
  <c r="F456"/>
  <c r="F455"/>
  <c r="F454"/>
  <c r="F453"/>
  <c r="F452"/>
  <c r="F451"/>
  <c r="F450"/>
  <c r="F449"/>
  <c r="F448"/>
  <c r="F447"/>
  <c r="F446"/>
  <c r="F445"/>
  <c r="F444"/>
  <c r="F443"/>
  <c r="F442"/>
  <c r="F441"/>
  <c r="F440"/>
  <c r="F437"/>
  <c r="F436"/>
  <c r="F435"/>
  <c r="F434"/>
  <c r="F433"/>
  <c r="F432"/>
  <c r="F431"/>
  <c r="F430"/>
  <c r="F429"/>
  <c r="F428"/>
  <c r="F427"/>
  <c r="F426"/>
  <c r="F425"/>
  <c r="F424"/>
  <c r="F423"/>
  <c r="F422"/>
  <c r="F421"/>
  <c r="F420"/>
  <c r="F419"/>
  <c r="F418"/>
  <c r="F417"/>
  <c r="F416"/>
  <c r="F415"/>
  <c r="F414"/>
  <c r="F413"/>
  <c r="F412"/>
  <c r="F411"/>
  <c r="F409"/>
  <c r="F408"/>
  <c r="F407"/>
  <c r="F406"/>
  <c r="F405"/>
  <c r="F404"/>
  <c r="F403"/>
  <c r="F402"/>
  <c r="F401"/>
  <c r="F400"/>
  <c r="F399"/>
  <c r="F398"/>
  <c r="F397"/>
  <c r="F396"/>
  <c r="F395"/>
  <c r="F394"/>
  <c r="F393"/>
  <c r="F392"/>
  <c r="F391"/>
  <c r="F390"/>
  <c r="F389"/>
  <c r="F388"/>
  <c r="F387"/>
  <c r="F386"/>
  <c r="F385"/>
  <c r="F384"/>
  <c r="F383"/>
  <c r="F381"/>
  <c r="F380"/>
  <c r="F379"/>
  <c r="F378"/>
  <c r="F377"/>
  <c r="F376"/>
  <c r="F375"/>
  <c r="F374"/>
  <c r="F373"/>
  <c r="F372"/>
  <c r="F371"/>
  <c r="F370"/>
  <c r="F369"/>
  <c r="F368"/>
  <c r="F367"/>
  <c r="F366"/>
  <c r="F365"/>
  <c r="F364"/>
  <c r="F363"/>
  <c r="F362"/>
  <c r="F361"/>
  <c r="F360"/>
  <c r="F359"/>
  <c r="F358"/>
  <c r="F357"/>
  <c r="F356"/>
  <c r="F355"/>
  <c r="F353"/>
  <c r="F352"/>
  <c r="F351"/>
  <c r="F350"/>
  <c r="F349"/>
  <c r="F348"/>
  <c r="F347"/>
  <c r="F346"/>
  <c r="F345"/>
  <c r="F344"/>
  <c r="F343"/>
  <c r="F342"/>
  <c r="F341"/>
  <c r="F340"/>
  <c r="F339"/>
  <c r="F338"/>
  <c r="F337"/>
  <c r="F336"/>
  <c r="F335"/>
  <c r="F334"/>
  <c r="F333"/>
  <c r="F332"/>
  <c r="F331"/>
  <c r="F330"/>
  <c r="F329"/>
  <c r="F328"/>
  <c r="F327"/>
  <c r="F325"/>
  <c r="F324"/>
  <c r="F323"/>
  <c r="F322"/>
  <c r="F321"/>
  <c r="F320"/>
  <c r="F319"/>
  <c r="F318"/>
  <c r="F317"/>
  <c r="F316"/>
  <c r="F315"/>
  <c r="F314"/>
  <c r="F313"/>
  <c r="F312"/>
  <c r="F311"/>
  <c r="F310"/>
  <c r="F309"/>
  <c r="F308"/>
  <c r="F307"/>
  <c r="F306"/>
  <c r="F305"/>
  <c r="F304"/>
  <c r="F303"/>
  <c r="F302"/>
  <c r="F301"/>
  <c r="F300"/>
  <c r="F299"/>
  <c r="F286"/>
  <c r="F285"/>
  <c r="F284"/>
  <c r="F283"/>
  <c r="F282"/>
  <c r="F281"/>
  <c r="F280"/>
  <c r="F279"/>
  <c r="F278"/>
  <c r="F277"/>
  <c r="F276"/>
  <c r="F275"/>
  <c r="F274"/>
  <c r="F273"/>
  <c r="F272"/>
  <c r="F271"/>
  <c r="F270"/>
  <c r="F269"/>
  <c r="F268"/>
  <c r="F267"/>
  <c r="F266"/>
  <c r="F265"/>
  <c r="F264"/>
  <c r="F263"/>
  <c r="F262"/>
  <c r="F261"/>
  <c r="F260"/>
  <c r="F259"/>
  <c r="F258"/>
  <c r="F256"/>
  <c r="F255"/>
  <c r="F254"/>
  <c r="F253"/>
  <c r="F252"/>
  <c r="F251"/>
  <c r="F250"/>
  <c r="F249"/>
  <c r="F248"/>
  <c r="F247"/>
  <c r="F246"/>
  <c r="F245"/>
  <c r="F244"/>
  <c r="F243"/>
  <c r="F242"/>
  <c r="F241"/>
  <c r="F240"/>
  <c r="F239"/>
  <c r="F238"/>
  <c r="F237"/>
  <c r="F236"/>
  <c r="F235"/>
  <c r="F234"/>
  <c r="F233"/>
  <c r="F232"/>
  <c r="F231"/>
  <c r="F230"/>
  <c r="F229"/>
  <c r="F228"/>
  <c r="F227"/>
  <c r="F226"/>
  <c r="F224"/>
  <c r="F223"/>
  <c r="F222"/>
  <c r="F221"/>
  <c r="F220"/>
  <c r="F219"/>
  <c r="F218"/>
  <c r="F217"/>
  <c r="F216"/>
  <c r="F215"/>
  <c r="F214"/>
  <c r="F213"/>
  <c r="F212"/>
  <c r="F211"/>
  <c r="F210"/>
  <c r="F209"/>
  <c r="F208"/>
  <c r="F207"/>
  <c r="F206"/>
  <c r="F205"/>
  <c r="F204"/>
  <c r="F203"/>
  <c r="F202"/>
  <c r="F201"/>
  <c r="F200"/>
  <c r="F199"/>
  <c r="F198"/>
  <c r="F197"/>
  <c r="F196"/>
  <c r="F195"/>
  <c r="F194"/>
  <c r="F191"/>
  <c r="F190"/>
  <c r="F189"/>
  <c r="F188"/>
  <c r="F187"/>
  <c r="F186"/>
  <c r="F185"/>
  <c r="F184"/>
  <c r="F183"/>
  <c r="F182"/>
  <c r="F181"/>
  <c r="F180"/>
  <c r="F179"/>
  <c r="F178"/>
  <c r="F177"/>
  <c r="F176"/>
  <c r="F175"/>
  <c r="F174"/>
  <c r="F173"/>
  <c r="F172"/>
  <c r="F171"/>
  <c r="F170"/>
  <c r="F169"/>
  <c r="F168"/>
  <c r="F167"/>
  <c r="F166"/>
  <c r="F165"/>
  <c r="F162"/>
  <c r="F161"/>
  <c r="F160"/>
  <c r="F159"/>
  <c r="F158"/>
  <c r="F157"/>
  <c r="F156"/>
  <c r="F155"/>
  <c r="F154"/>
  <c r="F153"/>
  <c r="F152"/>
  <c r="F151"/>
  <c r="F150"/>
  <c r="F149"/>
  <c r="F148"/>
  <c r="F147"/>
  <c r="F146"/>
  <c r="F145"/>
  <c r="F144"/>
  <c r="F143"/>
  <c r="F142"/>
  <c r="F141"/>
  <c r="F140"/>
  <c r="F139"/>
  <c r="F138"/>
  <c r="F137"/>
  <c r="F136"/>
  <c r="F135"/>
  <c r="F134"/>
  <c r="F133"/>
  <c r="F131"/>
  <c r="F130"/>
  <c r="F129"/>
  <c r="F128"/>
  <c r="F127"/>
  <c r="F126"/>
  <c r="F125"/>
  <c r="F124"/>
  <c r="F123"/>
  <c r="F122"/>
  <c r="F121"/>
  <c r="F120"/>
  <c r="F119"/>
  <c r="F118"/>
  <c r="F117"/>
  <c r="F116"/>
  <c r="F115"/>
  <c r="F114"/>
  <c r="F113"/>
  <c r="F112"/>
  <c r="F111"/>
  <c r="F110"/>
  <c r="F109"/>
  <c r="F108"/>
  <c r="F107"/>
  <c r="F106"/>
  <c r="F104"/>
  <c r="F103"/>
  <c r="F102"/>
  <c r="F101"/>
  <c r="F100"/>
  <c r="F99"/>
  <c r="F98"/>
  <c r="F97"/>
  <c r="F96"/>
  <c r="F95"/>
  <c r="F94"/>
  <c r="F93"/>
  <c r="F92"/>
  <c r="F91"/>
  <c r="F90"/>
  <c r="F88"/>
  <c r="F87"/>
  <c r="F86"/>
  <c r="F84"/>
  <c r="F83"/>
  <c r="F82"/>
  <c r="F81"/>
  <c r="F80"/>
  <c r="F79"/>
  <c r="F78"/>
  <c r="F77"/>
  <c r="F76"/>
  <c r="F75"/>
  <c r="F74"/>
  <c r="F73"/>
  <c r="F72"/>
  <c r="F71"/>
  <c r="F70"/>
  <c r="F69"/>
  <c r="F68"/>
  <c r="F59"/>
  <c r="F58"/>
  <c r="F57"/>
  <c r="F56"/>
  <c r="F55"/>
  <c r="F54"/>
  <c r="F53"/>
  <c r="F52"/>
  <c r="F32"/>
  <c r="F31"/>
  <c r="F30"/>
  <c r="F29"/>
  <c r="F28"/>
  <c r="F27"/>
  <c r="F26"/>
  <c r="F25"/>
  <c r="F23"/>
  <c r="F22"/>
  <c r="F21"/>
  <c r="F20"/>
  <c r="F19"/>
  <c r="F18"/>
  <c r="F17"/>
  <c r="F16"/>
  <c r="F14"/>
  <c r="F13"/>
  <c r="F12"/>
  <c r="F11"/>
  <c r="F10"/>
  <c r="F9"/>
  <c r="F8"/>
  <c r="F7"/>
  <c r="I9" i="5"/>
  <c r="I10"/>
  <c r="I11"/>
  <c r="I12"/>
  <c r="I13"/>
  <c r="I15"/>
  <c r="I16"/>
  <c r="I17"/>
  <c r="I18"/>
  <c r="I19"/>
  <c r="I20"/>
  <c r="I8"/>
  <c r="K9"/>
  <c r="K10"/>
  <c r="K11"/>
  <c r="K12"/>
  <c r="K13"/>
  <c r="K15"/>
  <c r="K16"/>
  <c r="K17"/>
  <c r="K18"/>
  <c r="K19"/>
  <c r="K20"/>
  <c r="K8"/>
  <c r="J9"/>
  <c r="J10"/>
  <c r="J11"/>
  <c r="J12"/>
  <c r="J13"/>
  <c r="J15"/>
  <c r="J16"/>
  <c r="J17"/>
  <c r="J18"/>
  <c r="J19"/>
  <c r="J20"/>
  <c r="J8"/>
  <c r="F233" i="3"/>
  <c r="F89" i="2"/>
  <c r="D465"/>
  <c r="D464"/>
  <c r="D463"/>
  <c r="D462"/>
  <c r="D461"/>
  <c r="D460"/>
  <c r="D459"/>
  <c r="D458"/>
  <c r="D457"/>
  <c r="D456"/>
  <c r="D455"/>
  <c r="D454"/>
  <c r="D453"/>
  <c r="D452"/>
  <c r="D451"/>
  <c r="D450"/>
  <c r="D449"/>
  <c r="D448"/>
  <c r="D447"/>
  <c r="D446"/>
  <c r="D445"/>
  <c r="D444"/>
  <c r="D443"/>
  <c r="D442"/>
  <c r="D441"/>
  <c r="D440"/>
  <c r="D436"/>
  <c r="D435"/>
  <c r="D434"/>
  <c r="D433"/>
  <c r="D432"/>
  <c r="D431"/>
  <c r="D430"/>
  <c r="D429"/>
  <c r="D428"/>
  <c r="D427"/>
  <c r="D426"/>
  <c r="D425"/>
  <c r="D424"/>
  <c r="D423"/>
  <c r="D422"/>
  <c r="D421"/>
  <c r="D420"/>
  <c r="D419"/>
  <c r="D418"/>
  <c r="D417"/>
  <c r="D416"/>
  <c r="D415"/>
  <c r="D414"/>
  <c r="D413"/>
  <c r="D412"/>
  <c r="D411"/>
  <c r="D408"/>
  <c r="D407"/>
  <c r="D406"/>
  <c r="D405"/>
  <c r="D404"/>
  <c r="D403"/>
  <c r="D402"/>
  <c r="D401"/>
  <c r="D400"/>
  <c r="D399"/>
  <c r="D398"/>
  <c r="D397"/>
  <c r="D396"/>
  <c r="D395"/>
  <c r="D394"/>
  <c r="D393"/>
  <c r="D392"/>
  <c r="D391"/>
  <c r="D390"/>
  <c r="D389"/>
  <c r="D388"/>
  <c r="D387"/>
  <c r="D386"/>
  <c r="D385"/>
  <c r="D384"/>
  <c r="D383"/>
  <c r="D380"/>
  <c r="D379"/>
  <c r="D378"/>
  <c r="D377"/>
  <c r="D376"/>
  <c r="D375"/>
  <c r="D374"/>
  <c r="D373"/>
  <c r="D372"/>
  <c r="D371"/>
  <c r="D370"/>
  <c r="D369"/>
  <c r="D368"/>
  <c r="D367"/>
  <c r="D366"/>
  <c r="D365"/>
  <c r="D364"/>
  <c r="D363"/>
  <c r="D362"/>
  <c r="D361"/>
  <c r="D360"/>
  <c r="D359"/>
  <c r="D358"/>
  <c r="D357"/>
  <c r="D356"/>
  <c r="D355"/>
  <c r="D352"/>
  <c r="D351"/>
  <c r="D350"/>
  <c r="D349"/>
  <c r="D348"/>
  <c r="D347"/>
  <c r="D346"/>
  <c r="D345"/>
  <c r="D344"/>
  <c r="D343"/>
  <c r="D342"/>
  <c r="D341"/>
  <c r="D340"/>
  <c r="D339"/>
  <c r="D338"/>
  <c r="D337"/>
  <c r="D336"/>
  <c r="D335"/>
  <c r="D334"/>
  <c r="D333"/>
  <c r="D332"/>
  <c r="D331"/>
  <c r="D330"/>
  <c r="D329"/>
  <c r="D328"/>
  <c r="D327"/>
  <c r="D324"/>
  <c r="D323"/>
  <c r="D322"/>
  <c r="D321"/>
  <c r="D320"/>
  <c r="D319"/>
  <c r="D318"/>
  <c r="D317"/>
  <c r="D316"/>
  <c r="D315"/>
  <c r="D314"/>
  <c r="D313"/>
  <c r="D312"/>
  <c r="D311"/>
  <c r="D310"/>
  <c r="D309"/>
  <c r="D308"/>
  <c r="D307"/>
  <c r="D306"/>
  <c r="D305"/>
  <c r="D304"/>
  <c r="D303"/>
  <c r="D302"/>
  <c r="D301"/>
  <c r="D300"/>
  <c r="D299"/>
  <c r="D285"/>
  <c r="D284"/>
  <c r="D283"/>
  <c r="D282"/>
  <c r="D281"/>
  <c r="D280"/>
  <c r="D279"/>
  <c r="D278"/>
  <c r="D277"/>
  <c r="D276"/>
  <c r="D275"/>
  <c r="D274"/>
  <c r="D273"/>
  <c r="D272"/>
  <c r="D271"/>
  <c r="D270"/>
  <c r="D269"/>
  <c r="D268"/>
  <c r="D267"/>
  <c r="D266"/>
  <c r="D265"/>
  <c r="D264"/>
  <c r="D263"/>
  <c r="D262"/>
  <c r="D261"/>
  <c r="D260"/>
  <c r="D259"/>
  <c r="D258"/>
  <c r="D255"/>
  <c r="D254"/>
  <c r="D253"/>
  <c r="D252"/>
  <c r="D251"/>
  <c r="D250"/>
  <c r="D249"/>
  <c r="D248"/>
  <c r="D247"/>
  <c r="D246"/>
  <c r="D245"/>
  <c r="D244"/>
  <c r="D243"/>
  <c r="D242"/>
  <c r="D241"/>
  <c r="D240"/>
  <c r="D239"/>
  <c r="D238"/>
  <c r="D237"/>
  <c r="D236"/>
  <c r="D235"/>
  <c r="D234"/>
  <c r="D233"/>
  <c r="D232"/>
  <c r="D231"/>
  <c r="D230"/>
  <c r="D229"/>
  <c r="D228"/>
  <c r="D227"/>
  <c r="D226"/>
  <c r="D223"/>
  <c r="D222"/>
  <c r="D221"/>
  <c r="D220"/>
  <c r="D219"/>
  <c r="D218"/>
  <c r="D217"/>
  <c r="D216"/>
  <c r="D215"/>
  <c r="D214"/>
  <c r="D213"/>
  <c r="D212"/>
  <c r="D211"/>
  <c r="D210"/>
  <c r="D209"/>
  <c r="D208"/>
  <c r="D207"/>
  <c r="D206"/>
  <c r="D205"/>
  <c r="D204"/>
  <c r="D203"/>
  <c r="D202"/>
  <c r="D201"/>
  <c r="D200"/>
  <c r="D199"/>
  <c r="D198"/>
  <c r="D197"/>
  <c r="D196"/>
  <c r="D195"/>
  <c r="D194"/>
  <c r="D190"/>
  <c r="D189"/>
  <c r="D188"/>
  <c r="D187"/>
  <c r="D186"/>
  <c r="D185"/>
  <c r="D184"/>
  <c r="D183"/>
  <c r="D182"/>
  <c r="D181"/>
  <c r="D180"/>
  <c r="D179"/>
  <c r="D178"/>
  <c r="D177"/>
  <c r="D176"/>
  <c r="D175"/>
  <c r="D174"/>
  <c r="D173"/>
  <c r="D172"/>
  <c r="D171"/>
  <c r="D170"/>
  <c r="D169"/>
  <c r="D168"/>
  <c r="D167"/>
  <c r="D166"/>
  <c r="D165"/>
  <c r="D161"/>
  <c r="D160"/>
  <c r="D159"/>
  <c r="D158"/>
  <c r="D157"/>
  <c r="D156"/>
  <c r="D155"/>
  <c r="D154"/>
  <c r="D153"/>
  <c r="D152"/>
  <c r="D151"/>
  <c r="D150"/>
  <c r="D149"/>
  <c r="D148"/>
  <c r="D147"/>
  <c r="D146"/>
  <c r="D145"/>
  <c r="D144"/>
  <c r="D143"/>
  <c r="D142"/>
  <c r="D141"/>
  <c r="D140"/>
  <c r="D139"/>
  <c r="D138"/>
  <c r="D137"/>
  <c r="D136"/>
  <c r="D135"/>
  <c r="D134"/>
  <c r="D133"/>
  <c r="D130"/>
  <c r="D129"/>
  <c r="D128"/>
  <c r="D127"/>
  <c r="D126"/>
  <c r="D125"/>
  <c r="D124"/>
  <c r="D123"/>
  <c r="D122"/>
  <c r="D121"/>
  <c r="D120"/>
  <c r="D119"/>
  <c r="D118"/>
  <c r="D117"/>
  <c r="D116"/>
  <c r="D115"/>
  <c r="D114"/>
  <c r="D113"/>
  <c r="D112"/>
  <c r="D111"/>
  <c r="D110"/>
  <c r="D109"/>
  <c r="D108"/>
  <c r="D107"/>
  <c r="D106"/>
  <c r="D103"/>
  <c r="D102"/>
  <c r="D101"/>
  <c r="D100"/>
  <c r="D99"/>
  <c r="D98"/>
  <c r="D97"/>
  <c r="D96"/>
  <c r="D95"/>
  <c r="D94"/>
  <c r="D93"/>
  <c r="D92"/>
  <c r="D91"/>
  <c r="D90"/>
  <c r="D89"/>
  <c r="D88"/>
  <c r="D87"/>
  <c r="D86"/>
  <c r="D83"/>
  <c r="D82"/>
  <c r="D81"/>
  <c r="D80"/>
  <c r="D79"/>
  <c r="D78"/>
  <c r="D77"/>
  <c r="D76"/>
  <c r="D75"/>
  <c r="D74"/>
  <c r="D73"/>
  <c r="D72"/>
  <c r="D71"/>
  <c r="D70"/>
  <c r="D69"/>
  <c r="D68"/>
  <c r="D59"/>
  <c r="D58"/>
  <c r="D57"/>
  <c r="D56"/>
  <c r="D55"/>
  <c r="D54"/>
  <c r="D53"/>
  <c r="D52"/>
  <c r="D32"/>
  <c r="D31"/>
  <c r="D30"/>
  <c r="D29"/>
  <c r="D28"/>
  <c r="D27"/>
  <c r="D26"/>
  <c r="D25"/>
  <c r="D23"/>
  <c r="D22"/>
  <c r="D21"/>
  <c r="D20"/>
  <c r="D19"/>
  <c r="D18"/>
  <c r="D17"/>
  <c r="D16"/>
  <c r="D14"/>
  <c r="D13"/>
  <c r="D12"/>
  <c r="D11"/>
  <c r="D10"/>
  <c r="D9"/>
  <c r="D8"/>
  <c r="I7" i="3"/>
  <c r="I8"/>
  <c r="I9"/>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126"/>
  <c r="I127"/>
  <c r="I128"/>
  <c r="I129"/>
  <c r="I130"/>
  <c r="I131"/>
  <c r="I132"/>
  <c r="I133"/>
  <c r="I134"/>
  <c r="I135"/>
  <c r="I136"/>
  <c r="I137"/>
  <c r="I138"/>
  <c r="I139"/>
  <c r="I140"/>
  <c r="I141"/>
  <c r="I142"/>
  <c r="I143"/>
  <c r="I144"/>
  <c r="I145"/>
  <c r="I146"/>
  <c r="I147"/>
  <c r="I148"/>
  <c r="I149"/>
  <c r="I150"/>
  <c r="I151"/>
  <c r="I152"/>
  <c r="I153"/>
  <c r="I154"/>
  <c r="I155"/>
  <c r="I156"/>
  <c r="I157"/>
  <c r="I158"/>
  <c r="I159"/>
  <c r="I160"/>
  <c r="I161"/>
  <c r="I162"/>
  <c r="I163"/>
  <c r="I164"/>
  <c r="I165"/>
  <c r="I166"/>
  <c r="I167"/>
  <c r="I168"/>
  <c r="I169"/>
  <c r="I170"/>
  <c r="I171"/>
  <c r="I172"/>
  <c r="I173"/>
  <c r="I174"/>
  <c r="I175"/>
  <c r="I176"/>
  <c r="I177"/>
  <c r="I178"/>
  <c r="I179"/>
  <c r="I180"/>
  <c r="I181"/>
  <c r="I182"/>
  <c r="I183"/>
  <c r="I184"/>
  <c r="I185"/>
  <c r="I186"/>
  <c r="I187"/>
  <c r="I188"/>
  <c r="I189"/>
  <c r="I190"/>
  <c r="I191"/>
  <c r="I192"/>
  <c r="I193"/>
  <c r="I194"/>
  <c r="I195"/>
  <c r="I196"/>
  <c r="I197"/>
  <c r="I198"/>
  <c r="I199"/>
  <c r="I200"/>
  <c r="I201"/>
  <c r="I202"/>
  <c r="I203"/>
  <c r="I204"/>
  <c r="I205"/>
  <c r="I206"/>
  <c r="I207"/>
  <c r="I208"/>
  <c r="I209"/>
  <c r="I210"/>
  <c r="I211"/>
  <c r="I212"/>
  <c r="I213"/>
  <c r="I214"/>
  <c r="I215"/>
  <c r="I216"/>
  <c r="I217"/>
  <c r="I218"/>
  <c r="I219"/>
  <c r="I220"/>
  <c r="I221"/>
  <c r="I222"/>
  <c r="I223"/>
  <c r="I224"/>
  <c r="I225"/>
  <c r="I226"/>
  <c r="I227"/>
  <c r="I228"/>
  <c r="I229"/>
  <c r="I230"/>
  <c r="I231"/>
  <c r="I232"/>
  <c r="I233"/>
  <c r="I234"/>
  <c r="I235"/>
  <c r="I236"/>
  <c r="I237"/>
  <c r="I238"/>
  <c r="I239"/>
  <c r="I241"/>
  <c r="I242"/>
  <c r="I243"/>
  <c r="I244"/>
  <c r="I245"/>
  <c r="I246"/>
  <c r="I247"/>
  <c r="I248"/>
  <c r="I249"/>
  <c r="I250"/>
  <c r="I251"/>
  <c r="I252"/>
  <c r="I253"/>
  <c r="I254"/>
  <c r="I255"/>
  <c r="I256"/>
  <c r="I257"/>
  <c r="I258"/>
  <c r="I259"/>
  <c r="I260"/>
  <c r="I261"/>
  <c r="I262"/>
  <c r="I263"/>
  <c r="I264"/>
  <c r="I265"/>
  <c r="I266"/>
  <c r="I267"/>
  <c r="I268"/>
  <c r="I269"/>
  <c r="I270"/>
  <c r="I271"/>
  <c r="I272"/>
  <c r="I273"/>
  <c r="I274"/>
  <c r="I275"/>
  <c r="I276"/>
  <c r="I277"/>
  <c r="I278"/>
  <c r="I279"/>
  <c r="I280"/>
  <c r="I281"/>
  <c r="I282"/>
  <c r="I283"/>
  <c r="I284"/>
  <c r="I285"/>
  <c r="I286"/>
  <c r="I287"/>
  <c r="I288"/>
  <c r="I289"/>
  <c r="I290"/>
  <c r="I291"/>
  <c r="I292"/>
  <c r="I293"/>
  <c r="I294"/>
  <c r="I295"/>
  <c r="I296"/>
  <c r="I297"/>
  <c r="I298"/>
  <c r="I299"/>
  <c r="I300"/>
  <c r="I301"/>
  <c r="I302"/>
  <c r="I303"/>
  <c r="I304"/>
  <c r="I305"/>
  <c r="I6"/>
  <c r="G89" i="2" l="1"/>
  <c r="G304" i="3" l="1"/>
  <c r="D7" i="2"/>
  <c r="G88" i="4" l="1"/>
  <c r="I88" s="1"/>
  <c r="G101"/>
  <c r="I101" s="1"/>
  <c r="G115"/>
  <c r="I115" s="1"/>
  <c r="G146"/>
  <c r="I146" s="1"/>
  <c r="G157"/>
  <c r="I157" s="1"/>
  <c r="G87"/>
  <c r="I87" s="1"/>
  <c r="G100"/>
  <c r="I100" s="1"/>
  <c r="G145"/>
  <c r="I145" s="1"/>
  <c r="G173"/>
  <c r="I173" s="1"/>
  <c r="G66"/>
  <c r="I66" s="1"/>
  <c r="G49"/>
  <c r="I49" s="1"/>
  <c r="G67"/>
  <c r="I67" s="1"/>
  <c r="G77"/>
  <c r="I77" s="1"/>
  <c r="G114"/>
  <c r="I114" s="1"/>
  <c r="G156"/>
  <c r="I156" s="1"/>
  <c r="G48"/>
  <c r="I48" s="1"/>
  <c r="G76"/>
  <c r="I76" s="1"/>
  <c r="G174"/>
  <c r="I174" s="1"/>
  <c r="G47" i="3" l="1"/>
  <c r="G48"/>
  <c r="G49"/>
  <c r="G50"/>
  <c r="G51"/>
  <c r="G52"/>
  <c r="G53"/>
  <c r="G7"/>
  <c r="G8"/>
  <c r="G9"/>
  <c r="G10"/>
  <c r="G11"/>
  <c r="G12"/>
  <c r="G13"/>
  <c r="G15"/>
  <c r="G16"/>
  <c r="G17"/>
  <c r="G18"/>
  <c r="G19"/>
  <c r="G21"/>
  <c r="G22"/>
  <c r="G23"/>
  <c r="G24"/>
  <c r="G25"/>
  <c r="G26"/>
  <c r="G27"/>
  <c r="G8" i="2"/>
  <c r="G9"/>
  <c r="G10"/>
  <c r="G11"/>
  <c r="G12"/>
  <c r="G13"/>
  <c r="G14"/>
  <c r="G16"/>
  <c r="G17"/>
  <c r="G18"/>
  <c r="G19"/>
  <c r="G20"/>
  <c r="G21"/>
  <c r="G22"/>
  <c r="G23"/>
  <c r="G25"/>
  <c r="G26"/>
  <c r="G27"/>
  <c r="G28"/>
  <c r="G29"/>
  <c r="G30"/>
  <c r="G31"/>
  <c r="G32"/>
  <c r="G52"/>
  <c r="G53"/>
  <c r="G54"/>
  <c r="G55"/>
  <c r="G56"/>
  <c r="G57"/>
  <c r="G58"/>
  <c r="G59"/>
  <c r="G7"/>
  <c r="G6" l="1"/>
  <c r="G51"/>
  <c r="G24"/>
  <c r="G15"/>
  <c r="E8" i="6" s="1"/>
  <c r="G10" i="4"/>
  <c r="I10" s="1"/>
  <c r="G5"/>
  <c r="I5" s="1"/>
  <c r="E28" i="6"/>
  <c r="E9"/>
  <c r="E7"/>
  <c r="G14" i="3"/>
  <c r="F8" i="6" s="1"/>
  <c r="G4" i="4"/>
  <c r="I4" s="1"/>
  <c r="G6"/>
  <c r="I6" s="1"/>
  <c r="G9"/>
  <c r="I9" s="1"/>
  <c r="G20" i="3"/>
  <c r="F9" i="6" s="1"/>
  <c r="G8" i="4"/>
  <c r="I8" s="1"/>
  <c r="G46" i="3"/>
  <c r="F28" i="6" s="1"/>
  <c r="G6" i="3"/>
  <c r="F7" i="6" s="1"/>
  <c r="G205" i="3"/>
  <c r="G274"/>
  <c r="G273"/>
  <c r="G272"/>
  <c r="G271"/>
  <c r="G270"/>
  <c r="G269"/>
  <c r="G268"/>
  <c r="G267"/>
  <c r="G266"/>
  <c r="G265"/>
  <c r="G264"/>
  <c r="G263"/>
  <c r="G262"/>
  <c r="G261"/>
  <c r="G260"/>
  <c r="G259"/>
  <c r="G258"/>
  <c r="G102"/>
  <c r="G97"/>
  <c r="G98"/>
  <c r="G99"/>
  <c r="G100"/>
  <c r="G101"/>
  <c r="G202"/>
  <c r="G201"/>
  <c r="G200"/>
  <c r="G199"/>
  <c r="G198"/>
  <c r="G197"/>
  <c r="G196"/>
  <c r="G195"/>
  <c r="G194"/>
  <c r="G193"/>
  <c r="G192"/>
  <c r="G62" i="2" l="1"/>
  <c r="E31" i="6" s="1"/>
  <c r="G37" i="2"/>
  <c r="E14" i="6" s="1"/>
  <c r="G39" i="2"/>
  <c r="E16" i="6" s="1"/>
  <c r="G32" i="3"/>
  <c r="G28"/>
  <c r="F10" i="6" s="1"/>
  <c r="I3" i="4"/>
  <c r="H7" i="6" s="1"/>
  <c r="G29" i="3"/>
  <c r="F11" i="6" s="1"/>
  <c r="G34" i="2"/>
  <c r="E11" i="6" s="1"/>
  <c r="G60" i="2"/>
  <c r="E29" i="6" s="1"/>
  <c r="G65" i="2"/>
  <c r="E34" i="6" s="1"/>
  <c r="G30" i="3"/>
  <c r="G63" i="2"/>
  <c r="E32" i="6" s="1"/>
  <c r="G64" i="2"/>
  <c r="E33" i="6" s="1"/>
  <c r="G33" i="2"/>
  <c r="E10" i="6" s="1"/>
  <c r="G35" i="2"/>
  <c r="G61"/>
  <c r="E30" i="6" s="1"/>
  <c r="I7" i="4"/>
  <c r="H8" i="6" s="1"/>
  <c r="G56" i="3"/>
  <c r="F31" i="6" s="1"/>
  <c r="G57" i="3"/>
  <c r="F32" i="6" s="1"/>
  <c r="G59" i="3"/>
  <c r="F34" i="6" s="1"/>
  <c r="G55" i="3"/>
  <c r="F30" i="6" s="1"/>
  <c r="G58" i="3"/>
  <c r="F33" i="6" s="1"/>
  <c r="G54" i="3"/>
  <c r="F29" i="6" s="1"/>
  <c r="G257" i="3"/>
  <c r="F62" i="6" s="1"/>
  <c r="F88" s="1"/>
  <c r="G191" i="3"/>
  <c r="F58" i="6" s="1"/>
  <c r="F84" s="1"/>
  <c r="F14" l="1"/>
  <c r="G33" i="3"/>
  <c r="F12" i="6"/>
  <c r="G31" i="3"/>
  <c r="F13" i="6" s="1"/>
  <c r="E12"/>
  <c r="G36" i="2"/>
  <c r="I12" i="4"/>
  <c r="H9" i="6" s="1"/>
  <c r="I33" i="4"/>
  <c r="H30" i="6" s="1"/>
  <c r="I13" i="4"/>
  <c r="H10" i="6" s="1"/>
  <c r="I14" i="4"/>
  <c r="H11" i="6" s="1"/>
  <c r="I15" i="4"/>
  <c r="I31"/>
  <c r="H28" i="6" s="1"/>
  <c r="I36" i="4"/>
  <c r="H33" i="6" s="1"/>
  <c r="I19" i="4"/>
  <c r="I35"/>
  <c r="H32" i="6" s="1"/>
  <c r="I17" i="4"/>
  <c r="H14" i="6" s="1"/>
  <c r="I34" i="4"/>
  <c r="H31" i="6" s="1"/>
  <c r="I32" i="4"/>
  <c r="H29" i="6" s="1"/>
  <c r="I37" i="4"/>
  <c r="H34" i="6" s="1"/>
  <c r="G144" i="4"/>
  <c r="I144" s="1"/>
  <c r="I82"/>
  <c r="G41" i="6" s="1"/>
  <c r="G67" s="1"/>
  <c r="H16" l="1"/>
  <c r="H12"/>
  <c r="I23" i="4"/>
  <c r="I18"/>
  <c r="H15" i="6" s="1"/>
  <c r="I24" i="4"/>
  <c r="I20"/>
  <c r="I25"/>
  <c r="H22" i="6" s="1"/>
  <c r="I21" i="4"/>
  <c r="I26"/>
  <c r="H23" i="6" s="1"/>
  <c r="I22" i="4"/>
  <c r="I16"/>
  <c r="G41" i="3"/>
  <c r="F23" i="6" s="1"/>
  <c r="G37" i="3"/>
  <c r="F19" i="6" s="1"/>
  <c r="G42" i="3"/>
  <c r="F24" i="6" s="1"/>
  <c r="G38" i="3"/>
  <c r="F20" i="6" s="1"/>
  <c r="G34" i="3"/>
  <c r="G43"/>
  <c r="F25" i="6" s="1"/>
  <c r="G39" i="3"/>
  <c r="F21" i="6" s="1"/>
  <c r="G35" i="3"/>
  <c r="F17" i="6" s="1"/>
  <c r="F15"/>
  <c r="G44" i="3"/>
  <c r="F26" i="6" s="1"/>
  <c r="G40" i="3"/>
  <c r="F22" i="6" s="1"/>
  <c r="G36" i="3"/>
  <c r="F18" i="6" s="1"/>
  <c r="G46" i="2"/>
  <c r="E23" i="6" s="1"/>
  <c r="G42" i="2"/>
  <c r="E19" i="6" s="1"/>
  <c r="G47" i="2"/>
  <c r="E24" i="6" s="1"/>
  <c r="G43" i="2"/>
  <c r="E20" i="6" s="1"/>
  <c r="G38" i="2"/>
  <c r="E15" i="6" s="1"/>
  <c r="E13"/>
  <c r="G48" i="2"/>
  <c r="E25" i="6" s="1"/>
  <c r="G44" i="2"/>
  <c r="E21" i="6" s="1"/>
  <c r="G40" i="2"/>
  <c r="E17" i="6" s="1"/>
  <c r="G49" i="2"/>
  <c r="G45"/>
  <c r="E22" i="6" s="1"/>
  <c r="G41" i="2"/>
  <c r="E18" i="6" s="1"/>
  <c r="G75" i="4"/>
  <c r="I75" s="1"/>
  <c r="G78"/>
  <c r="I78" s="1"/>
  <c r="G80"/>
  <c r="I80" s="1"/>
  <c r="G74"/>
  <c r="I74" s="1"/>
  <c r="G79"/>
  <c r="I79" s="1"/>
  <c r="G81"/>
  <c r="I81" s="1"/>
  <c r="G42"/>
  <c r="I42" s="1"/>
  <c r="F16" i="6" l="1"/>
  <c r="G45" i="3"/>
  <c r="F27" i="6" s="1"/>
  <c r="H18"/>
  <c r="E26"/>
  <c r="G50" i="2"/>
  <c r="E27" i="6" s="1"/>
  <c r="H21"/>
  <c r="H19"/>
  <c r="H17"/>
  <c r="H13"/>
  <c r="H20"/>
  <c r="I27" i="4"/>
  <c r="H24" i="6" s="1"/>
  <c r="I28" i="4"/>
  <c r="I29"/>
  <c r="I73"/>
  <c r="H41" i="6" s="1"/>
  <c r="H67" s="1"/>
  <c r="H26" l="1"/>
  <c r="H25"/>
  <c r="I30" i="4"/>
  <c r="H27" i="6" s="1"/>
  <c r="G113" i="3"/>
  <c r="G114"/>
  <c r="G115"/>
  <c r="G116"/>
  <c r="G117"/>
  <c r="G94"/>
  <c r="G106"/>
  <c r="G105"/>
  <c r="G104"/>
  <c r="G103"/>
  <c r="G96"/>
  <c r="G95"/>
  <c r="G93"/>
  <c r="G92"/>
  <c r="G91"/>
  <c r="G74"/>
  <c r="G73"/>
  <c r="G69"/>
  <c r="G72"/>
  <c r="G71"/>
  <c r="G70"/>
  <c r="G68"/>
  <c r="G67"/>
  <c r="G256" i="2"/>
  <c r="G255"/>
  <c r="G254"/>
  <c r="G253"/>
  <c r="G252"/>
  <c r="G251"/>
  <c r="G250"/>
  <c r="G249"/>
  <c r="G248"/>
  <c r="G247"/>
  <c r="G246"/>
  <c r="G245"/>
  <c r="G244"/>
  <c r="G243"/>
  <c r="G242"/>
  <c r="G241"/>
  <c r="G240"/>
  <c r="G239"/>
  <c r="G238"/>
  <c r="G237"/>
  <c r="G236"/>
  <c r="G235"/>
  <c r="G234"/>
  <c r="G233"/>
  <c r="G232"/>
  <c r="G231"/>
  <c r="G230"/>
  <c r="G229"/>
  <c r="G228"/>
  <c r="G227"/>
  <c r="G226"/>
  <c r="G83"/>
  <c r="G225" l="1"/>
  <c r="G90" i="3"/>
  <c r="F40" i="6" s="1"/>
  <c r="F66" s="1"/>
  <c r="G66" i="3"/>
  <c r="F38" i="6" s="1"/>
  <c r="E45"/>
  <c r="E71" s="1"/>
  <c r="G70" i="2" l="1"/>
  <c r="G101"/>
  <c r="G80"/>
  <c r="G68"/>
  <c r="G69"/>
  <c r="G96"/>
  <c r="G75"/>
  <c r="G97"/>
  <c r="G76"/>
  <c r="G98"/>
  <c r="G77"/>
  <c r="G99"/>
  <c r="G78"/>
  <c r="G74"/>
  <c r="G95"/>
  <c r="G73"/>
  <c r="G103"/>
  <c r="G82"/>
  <c r="G94"/>
  <c r="G71"/>
  <c r="G104"/>
  <c r="G84"/>
  <c r="G100"/>
  <c r="G79"/>
  <c r="G102"/>
  <c r="G81"/>
  <c r="G72"/>
  <c r="G67" l="1"/>
  <c r="E37" i="6"/>
  <c r="I44" i="4"/>
  <c r="G37" i="6" s="1"/>
  <c r="G154" i="4" l="1"/>
  <c r="I154" s="1"/>
  <c r="G98"/>
  <c r="I98" s="1"/>
  <c r="G65"/>
  <c r="I65" s="1"/>
  <c r="G112"/>
  <c r="I112" s="1"/>
  <c r="G85"/>
  <c r="I85" s="1"/>
  <c r="G135"/>
  <c r="I135" s="1"/>
  <c r="G172"/>
  <c r="I172" s="1"/>
  <c r="G55"/>
  <c r="I55" s="1"/>
  <c r="G41"/>
  <c r="I41" s="1"/>
  <c r="G40"/>
  <c r="I40" s="1"/>
  <c r="G47"/>
  <c r="I47" s="1"/>
  <c r="G43"/>
  <c r="I43" s="1"/>
  <c r="G87" i="2"/>
  <c r="G88"/>
  <c r="G90"/>
  <c r="G91"/>
  <c r="G92"/>
  <c r="G93"/>
  <c r="G86"/>
  <c r="G85" l="1"/>
  <c r="E38" i="6"/>
  <c r="I39" i="4"/>
  <c r="H37" i="6" s="1"/>
  <c r="G299" i="2"/>
  <c r="G300"/>
  <c r="G301"/>
  <c r="G302"/>
  <c r="G303"/>
  <c r="G304"/>
  <c r="G305"/>
  <c r="G306"/>
  <c r="G307"/>
  <c r="G281" i="3" l="1"/>
  <c r="G246"/>
  <c r="G233"/>
  <c r="I52" i="4"/>
  <c r="I141"/>
  <c r="G58" i="6" s="1"/>
  <c r="G84" s="1"/>
  <c r="I62" i="4"/>
  <c r="G39" i="6" s="1"/>
  <c r="I72" i="4"/>
  <c r="G40" i="6" s="1"/>
  <c r="G66" s="1"/>
  <c r="I151" i="4"/>
  <c r="G59" i="6" s="1"/>
  <c r="G85" s="1"/>
  <c r="I94" i="4"/>
  <c r="I108"/>
  <c r="G44" i="6" s="1"/>
  <c r="G70" s="1"/>
  <c r="I121" i="4"/>
  <c r="G45" i="6" s="1"/>
  <c r="G71" s="1"/>
  <c r="I166" i="4"/>
  <c r="G60" i="6" s="1"/>
  <c r="G86" s="1"/>
  <c r="I182" i="4"/>
  <c r="G64" i="6" s="1"/>
  <c r="G90" s="1"/>
  <c r="G42" l="1"/>
  <c r="G68" s="1"/>
  <c r="G43"/>
  <c r="G69" s="1"/>
  <c r="G51"/>
  <c r="G47"/>
  <c r="G73" s="1"/>
  <c r="G48"/>
  <c r="G49"/>
  <c r="G50"/>
  <c r="G46"/>
  <c r="G72" s="1"/>
  <c r="G38"/>
  <c r="G63"/>
  <c r="G89" s="1"/>
  <c r="G62"/>
  <c r="G88" s="1"/>
  <c r="G61"/>
  <c r="G87" s="1"/>
  <c r="G50" i="4"/>
  <c r="I50" s="1"/>
  <c r="G51"/>
  <c r="I51" s="1"/>
  <c r="G46"/>
  <c r="I46" s="1"/>
  <c r="G71"/>
  <c r="I71" s="1"/>
  <c r="G138"/>
  <c r="I138" s="1"/>
  <c r="G158"/>
  <c r="I158" s="1"/>
  <c r="G153"/>
  <c r="I153" s="1"/>
  <c r="G120"/>
  <c r="I120" s="1"/>
  <c r="G118"/>
  <c r="I118" s="1"/>
  <c r="G116"/>
  <c r="I116" s="1"/>
  <c r="G113"/>
  <c r="I113" s="1"/>
  <c r="G106"/>
  <c r="I106" s="1"/>
  <c r="G104"/>
  <c r="I104" s="1"/>
  <c r="G102"/>
  <c r="I102" s="1"/>
  <c r="G99"/>
  <c r="I99" s="1"/>
  <c r="G92"/>
  <c r="I92" s="1"/>
  <c r="G90"/>
  <c r="I90" s="1"/>
  <c r="G84"/>
  <c r="I84" s="1"/>
  <c r="G149"/>
  <c r="I149" s="1"/>
  <c r="G147"/>
  <c r="I147" s="1"/>
  <c r="G70"/>
  <c r="I70" s="1"/>
  <c r="G68"/>
  <c r="I68" s="1"/>
  <c r="G64"/>
  <c r="I64" s="1"/>
  <c r="G60"/>
  <c r="I60" s="1"/>
  <c r="G58"/>
  <c r="I58" s="1"/>
  <c r="G56"/>
  <c r="I56" s="1"/>
  <c r="G139"/>
  <c r="I139" s="1"/>
  <c r="G137"/>
  <c r="I137" s="1"/>
  <c r="G134"/>
  <c r="I134" s="1"/>
  <c r="G180"/>
  <c r="I180" s="1"/>
  <c r="G178"/>
  <c r="I178" s="1"/>
  <c r="G176"/>
  <c r="I176" s="1"/>
  <c r="G171"/>
  <c r="I171" s="1"/>
  <c r="G165"/>
  <c r="I165" s="1"/>
  <c r="G163"/>
  <c r="I163" s="1"/>
  <c r="G161"/>
  <c r="I161" s="1"/>
  <c r="G159"/>
  <c r="I159" s="1"/>
  <c r="G89"/>
  <c r="I89" s="1"/>
  <c r="G181"/>
  <c r="I181" s="1"/>
  <c r="G179"/>
  <c r="I179" s="1"/>
  <c r="G177"/>
  <c r="I177" s="1"/>
  <c r="G175"/>
  <c r="I175" s="1"/>
  <c r="G164"/>
  <c r="I164" s="1"/>
  <c r="G162"/>
  <c r="I162" s="1"/>
  <c r="G160"/>
  <c r="I160" s="1"/>
  <c r="G155"/>
  <c r="I155" s="1"/>
  <c r="G119"/>
  <c r="I119" s="1"/>
  <c r="G117"/>
  <c r="I117" s="1"/>
  <c r="G111"/>
  <c r="I111" s="1"/>
  <c r="G107"/>
  <c r="I107" s="1"/>
  <c r="G105"/>
  <c r="I105" s="1"/>
  <c r="G103"/>
  <c r="I103" s="1"/>
  <c r="G97"/>
  <c r="I97" s="1"/>
  <c r="G93"/>
  <c r="I93" s="1"/>
  <c r="G91"/>
  <c r="I91" s="1"/>
  <c r="G86"/>
  <c r="I86" s="1"/>
  <c r="G150"/>
  <c r="I150" s="1"/>
  <c r="G148"/>
  <c r="I148" s="1"/>
  <c r="G143"/>
  <c r="I143" s="1"/>
  <c r="G69"/>
  <c r="I69" s="1"/>
  <c r="G61"/>
  <c r="I61" s="1"/>
  <c r="G59"/>
  <c r="I59" s="1"/>
  <c r="G57"/>
  <c r="I57" s="1"/>
  <c r="G54"/>
  <c r="I54" s="1"/>
  <c r="G140"/>
  <c r="I140" s="1"/>
  <c r="G136"/>
  <c r="I136" s="1"/>
  <c r="G54" i="6" l="1"/>
  <c r="G80" s="1"/>
  <c r="G74"/>
  <c r="G55"/>
  <c r="G81" s="1"/>
  <c r="G75"/>
  <c r="G56"/>
  <c r="G82" s="1"/>
  <c r="G76"/>
  <c r="G57"/>
  <c r="G83" s="1"/>
  <c r="G77"/>
  <c r="G52"/>
  <c r="G78" s="1"/>
  <c r="G53"/>
  <c r="G79" s="1"/>
  <c r="I63" i="4"/>
  <c r="H40" i="6" s="1"/>
  <c r="H66" s="1"/>
  <c r="I152" i="4"/>
  <c r="H60" i="6" s="1"/>
  <c r="H86" s="1"/>
  <c r="I110" i="4"/>
  <c r="I133"/>
  <c r="H58" i="6" s="1"/>
  <c r="H84" s="1"/>
  <c r="I142" i="4"/>
  <c r="H59" i="6" s="1"/>
  <c r="H85" s="1"/>
  <c r="I83" i="4"/>
  <c r="I96"/>
  <c r="I170"/>
  <c r="H64" i="6" s="1"/>
  <c r="H90" s="1"/>
  <c r="I45" i="4"/>
  <c r="H38" i="6" s="1"/>
  <c r="I53" i="4"/>
  <c r="H39" i="6" s="1"/>
  <c r="I122" i="4" l="1"/>
  <c r="H46" i="6"/>
  <c r="H72" s="1"/>
  <c r="H42"/>
  <c r="H68" s="1"/>
  <c r="I95" i="4"/>
  <c r="H43" i="6" s="1"/>
  <c r="H69" s="1"/>
  <c r="H44"/>
  <c r="H70" s="1"/>
  <c r="I109" i="4"/>
  <c r="I168"/>
  <c r="H62" i="6" s="1"/>
  <c r="H88" s="1"/>
  <c r="I167" i="4"/>
  <c r="H61" i="6" s="1"/>
  <c r="H87" s="1"/>
  <c r="I169" i="4"/>
  <c r="H63" i="6" s="1"/>
  <c r="H89" s="1"/>
  <c r="I123" i="4" l="1"/>
  <c r="H47" i="6"/>
  <c r="H73" s="1"/>
  <c r="H45"/>
  <c r="H71" s="1"/>
  <c r="G62" i="3"/>
  <c r="G63"/>
  <c r="G64"/>
  <c r="G65"/>
  <c r="G76"/>
  <c r="G77"/>
  <c r="G78"/>
  <c r="G79"/>
  <c r="G80"/>
  <c r="G81"/>
  <c r="G82"/>
  <c r="G83"/>
  <c r="G84"/>
  <c r="G85"/>
  <c r="G86"/>
  <c r="G87"/>
  <c r="G88"/>
  <c r="G89"/>
  <c r="G108"/>
  <c r="G109"/>
  <c r="G110"/>
  <c r="G111"/>
  <c r="G112"/>
  <c r="G118"/>
  <c r="G119"/>
  <c r="G120"/>
  <c r="G121"/>
  <c r="G122"/>
  <c r="G123"/>
  <c r="G124"/>
  <c r="G125"/>
  <c r="G204"/>
  <c r="G206"/>
  <c r="G207"/>
  <c r="G208"/>
  <c r="G209"/>
  <c r="G210"/>
  <c r="G211"/>
  <c r="G212"/>
  <c r="G213"/>
  <c r="G214"/>
  <c r="G215"/>
  <c r="G216"/>
  <c r="G217"/>
  <c r="G218"/>
  <c r="G219"/>
  <c r="G220"/>
  <c r="G221"/>
  <c r="G127"/>
  <c r="G128"/>
  <c r="G129"/>
  <c r="G130"/>
  <c r="G131"/>
  <c r="G132"/>
  <c r="G133"/>
  <c r="G134"/>
  <c r="G135"/>
  <c r="G136"/>
  <c r="G137"/>
  <c r="G140"/>
  <c r="G141"/>
  <c r="G142"/>
  <c r="G143"/>
  <c r="G144"/>
  <c r="G145"/>
  <c r="G146"/>
  <c r="G147"/>
  <c r="G148"/>
  <c r="G149"/>
  <c r="G150"/>
  <c r="G151"/>
  <c r="G152"/>
  <c r="G154"/>
  <c r="G155"/>
  <c r="G156"/>
  <c r="G157"/>
  <c r="G158"/>
  <c r="G159"/>
  <c r="G160"/>
  <c r="G161"/>
  <c r="G162"/>
  <c r="G163"/>
  <c r="G164"/>
  <c r="G165"/>
  <c r="G166"/>
  <c r="G167"/>
  <c r="G168"/>
  <c r="G170"/>
  <c r="G171"/>
  <c r="G172"/>
  <c r="G173"/>
  <c r="G174"/>
  <c r="G175"/>
  <c r="G176"/>
  <c r="G177"/>
  <c r="G178"/>
  <c r="G179"/>
  <c r="G223"/>
  <c r="G224"/>
  <c r="G225"/>
  <c r="G226"/>
  <c r="G227"/>
  <c r="G228"/>
  <c r="G229"/>
  <c r="G230"/>
  <c r="G231"/>
  <c r="G232"/>
  <c r="G234"/>
  <c r="G235"/>
  <c r="G236"/>
  <c r="G237"/>
  <c r="G238"/>
  <c r="G239"/>
  <c r="G241"/>
  <c r="G242"/>
  <c r="G243"/>
  <c r="G244"/>
  <c r="G245"/>
  <c r="G247"/>
  <c r="G248"/>
  <c r="G249"/>
  <c r="G250"/>
  <c r="G251"/>
  <c r="G252"/>
  <c r="G253"/>
  <c r="G254"/>
  <c r="G255"/>
  <c r="G256"/>
  <c r="G276"/>
  <c r="G277"/>
  <c r="G278"/>
  <c r="G279"/>
  <c r="G280"/>
  <c r="G282"/>
  <c r="G283"/>
  <c r="G284"/>
  <c r="G285"/>
  <c r="G286"/>
  <c r="G287"/>
  <c r="G288"/>
  <c r="G289"/>
  <c r="G290"/>
  <c r="G291"/>
  <c r="G292"/>
  <c r="G294"/>
  <c r="G295"/>
  <c r="G296"/>
  <c r="G297"/>
  <c r="G298"/>
  <c r="G299"/>
  <c r="G300"/>
  <c r="G301"/>
  <c r="G302"/>
  <c r="G303"/>
  <c r="G305"/>
  <c r="G308" i="2"/>
  <c r="G309"/>
  <c r="G310"/>
  <c r="G311"/>
  <c r="G312"/>
  <c r="G313"/>
  <c r="G314"/>
  <c r="G315"/>
  <c r="G316"/>
  <c r="G317"/>
  <c r="G318"/>
  <c r="G319"/>
  <c r="G320"/>
  <c r="G321"/>
  <c r="G322"/>
  <c r="G323"/>
  <c r="G324"/>
  <c r="G325"/>
  <c r="G106"/>
  <c r="G107"/>
  <c r="G108"/>
  <c r="G109"/>
  <c r="G110"/>
  <c r="G111"/>
  <c r="G112"/>
  <c r="G113"/>
  <c r="G114"/>
  <c r="G115"/>
  <c r="G116"/>
  <c r="G117"/>
  <c r="G118"/>
  <c r="G119"/>
  <c r="G120"/>
  <c r="G121"/>
  <c r="G122"/>
  <c r="G123"/>
  <c r="G124"/>
  <c r="G125"/>
  <c r="G126"/>
  <c r="G127"/>
  <c r="G128"/>
  <c r="G129"/>
  <c r="G130"/>
  <c r="G131"/>
  <c r="G133"/>
  <c r="G134"/>
  <c r="G135"/>
  <c r="G136"/>
  <c r="G137"/>
  <c r="G138"/>
  <c r="G139"/>
  <c r="G140"/>
  <c r="G141"/>
  <c r="G142"/>
  <c r="G143"/>
  <c r="G144"/>
  <c r="G145"/>
  <c r="G146"/>
  <c r="G147"/>
  <c r="G148"/>
  <c r="G149"/>
  <c r="G150"/>
  <c r="G151"/>
  <c r="G152"/>
  <c r="G153"/>
  <c r="G154"/>
  <c r="G155"/>
  <c r="G156"/>
  <c r="G157"/>
  <c r="G158"/>
  <c r="G159"/>
  <c r="G160"/>
  <c r="G161"/>
  <c r="G162"/>
  <c r="G327"/>
  <c r="G328"/>
  <c r="G329"/>
  <c r="G330"/>
  <c r="G331"/>
  <c r="G332"/>
  <c r="G333"/>
  <c r="G334"/>
  <c r="G335"/>
  <c r="G336"/>
  <c r="G337"/>
  <c r="G338"/>
  <c r="G339"/>
  <c r="G340"/>
  <c r="G341"/>
  <c r="G342"/>
  <c r="G343"/>
  <c r="G344"/>
  <c r="G345"/>
  <c r="G346"/>
  <c r="G347"/>
  <c r="G348"/>
  <c r="G349"/>
  <c r="G350"/>
  <c r="G351"/>
  <c r="G352"/>
  <c r="G353"/>
  <c r="G165"/>
  <c r="G166"/>
  <c r="G167"/>
  <c r="G168"/>
  <c r="G169"/>
  <c r="G170"/>
  <c r="G171"/>
  <c r="G172"/>
  <c r="G173"/>
  <c r="G174"/>
  <c r="G175"/>
  <c r="G176"/>
  <c r="G177"/>
  <c r="G178"/>
  <c r="G179"/>
  <c r="G180"/>
  <c r="G181"/>
  <c r="G182"/>
  <c r="G183"/>
  <c r="G184"/>
  <c r="G185"/>
  <c r="G186"/>
  <c r="G187"/>
  <c r="G188"/>
  <c r="G189"/>
  <c r="G190"/>
  <c r="G191"/>
  <c r="G194"/>
  <c r="G195"/>
  <c r="G196"/>
  <c r="G197"/>
  <c r="G198"/>
  <c r="G199"/>
  <c r="G200"/>
  <c r="G201"/>
  <c r="G202"/>
  <c r="G203"/>
  <c r="G204"/>
  <c r="G205"/>
  <c r="G206"/>
  <c r="G207"/>
  <c r="G208"/>
  <c r="G209"/>
  <c r="G210"/>
  <c r="G211"/>
  <c r="G212"/>
  <c r="G213"/>
  <c r="G214"/>
  <c r="G215"/>
  <c r="G216"/>
  <c r="G217"/>
  <c r="G218"/>
  <c r="G219"/>
  <c r="G220"/>
  <c r="G221"/>
  <c r="G222"/>
  <c r="G223"/>
  <c r="G224"/>
  <c r="G258"/>
  <c r="G259"/>
  <c r="G260"/>
  <c r="G261"/>
  <c r="G262"/>
  <c r="G263"/>
  <c r="G264"/>
  <c r="G265"/>
  <c r="G266"/>
  <c r="G267"/>
  <c r="G268"/>
  <c r="G269"/>
  <c r="G270"/>
  <c r="G271"/>
  <c r="G272"/>
  <c r="G273"/>
  <c r="G274"/>
  <c r="G275"/>
  <c r="G276"/>
  <c r="G277"/>
  <c r="G278"/>
  <c r="G279"/>
  <c r="G280"/>
  <c r="G281"/>
  <c r="G282"/>
  <c r="G283"/>
  <c r="G284"/>
  <c r="G285"/>
  <c r="G286"/>
  <c r="G355"/>
  <c r="G356"/>
  <c r="G357"/>
  <c r="G358"/>
  <c r="G359"/>
  <c r="G360"/>
  <c r="G361"/>
  <c r="G362"/>
  <c r="G363"/>
  <c r="G364"/>
  <c r="G365"/>
  <c r="G366"/>
  <c r="G367"/>
  <c r="G368"/>
  <c r="G369"/>
  <c r="G370"/>
  <c r="G371"/>
  <c r="G372"/>
  <c r="G373"/>
  <c r="G374"/>
  <c r="G375"/>
  <c r="G376"/>
  <c r="G377"/>
  <c r="G378"/>
  <c r="G379"/>
  <c r="G380"/>
  <c r="G381"/>
  <c r="G383"/>
  <c r="G384"/>
  <c r="G385"/>
  <c r="G386"/>
  <c r="G387"/>
  <c r="G388"/>
  <c r="G389"/>
  <c r="G390"/>
  <c r="G391"/>
  <c r="G392"/>
  <c r="G393"/>
  <c r="G394"/>
  <c r="G395"/>
  <c r="G396"/>
  <c r="G397"/>
  <c r="G398"/>
  <c r="G399"/>
  <c r="G400"/>
  <c r="G401"/>
  <c r="G402"/>
  <c r="G403"/>
  <c r="G404"/>
  <c r="G405"/>
  <c r="G406"/>
  <c r="G407"/>
  <c r="G408"/>
  <c r="G409"/>
  <c r="G411"/>
  <c r="G412"/>
  <c r="G413"/>
  <c r="G414"/>
  <c r="G415"/>
  <c r="G416"/>
  <c r="G417"/>
  <c r="G418"/>
  <c r="G419"/>
  <c r="G420"/>
  <c r="G421"/>
  <c r="G422"/>
  <c r="G423"/>
  <c r="G424"/>
  <c r="G425"/>
  <c r="G426"/>
  <c r="G427"/>
  <c r="G428"/>
  <c r="G429"/>
  <c r="G430"/>
  <c r="G431"/>
  <c r="G432"/>
  <c r="G433"/>
  <c r="G434"/>
  <c r="G435"/>
  <c r="G436"/>
  <c r="G437"/>
  <c r="G440"/>
  <c r="G441"/>
  <c r="G442"/>
  <c r="G443"/>
  <c r="G444"/>
  <c r="G445"/>
  <c r="G446"/>
  <c r="G447"/>
  <c r="G448"/>
  <c r="G449"/>
  <c r="G450"/>
  <c r="G451"/>
  <c r="G452"/>
  <c r="G453"/>
  <c r="G454"/>
  <c r="G455"/>
  <c r="G456"/>
  <c r="G457"/>
  <c r="G458"/>
  <c r="G459"/>
  <c r="G460"/>
  <c r="G461"/>
  <c r="G462"/>
  <c r="G463"/>
  <c r="G464"/>
  <c r="G465"/>
  <c r="H20" i="5"/>
  <c r="G20"/>
  <c r="E20"/>
  <c r="H19"/>
  <c r="G19"/>
  <c r="E19"/>
  <c r="H18"/>
  <c r="G18"/>
  <c r="E18"/>
  <c r="H17"/>
  <c r="G17"/>
  <c r="E17"/>
  <c r="H16"/>
  <c r="E16"/>
  <c r="F16" s="1"/>
  <c r="H15"/>
  <c r="G15"/>
  <c r="E15"/>
  <c r="H13"/>
  <c r="G13"/>
  <c r="E13"/>
  <c r="H12"/>
  <c r="G12"/>
  <c r="E12"/>
  <c r="H11"/>
  <c r="G11"/>
  <c r="E11"/>
  <c r="H10"/>
  <c r="G10"/>
  <c r="E10"/>
  <c r="F10" s="1"/>
  <c r="H9"/>
  <c r="G9"/>
  <c r="E9"/>
  <c r="H8"/>
  <c r="G8"/>
  <c r="E8"/>
  <c r="G439" i="2" l="1"/>
  <c r="G410"/>
  <c r="G326"/>
  <c r="G105"/>
  <c r="G382"/>
  <c r="G257"/>
  <c r="G354"/>
  <c r="G193"/>
  <c r="G132"/>
  <c r="G298"/>
  <c r="G164"/>
  <c r="I124" i="4"/>
  <c r="H48" i="6"/>
  <c r="H74" s="1"/>
  <c r="E64"/>
  <c r="E90" s="1"/>
  <c r="F20" i="5"/>
  <c r="F19"/>
  <c r="F15"/>
  <c r="F8"/>
  <c r="F12"/>
  <c r="L16"/>
  <c r="F35" i="1" s="1"/>
  <c r="F9" i="5"/>
  <c r="F11"/>
  <c r="F13"/>
  <c r="F18"/>
  <c r="F17"/>
  <c r="L10"/>
  <c r="E58" i="6"/>
  <c r="E84" s="1"/>
  <c r="E44"/>
  <c r="E70" s="1"/>
  <c r="G61" i="3"/>
  <c r="F37" i="6" s="1"/>
  <c r="G107" i="3"/>
  <c r="F41" i="6" s="1"/>
  <c r="F67" s="1"/>
  <c r="G203" i="3"/>
  <c r="F59" i="6" s="1"/>
  <c r="F85" s="1"/>
  <c r="G275" i="3"/>
  <c r="F63" i="6" s="1"/>
  <c r="F89" s="1"/>
  <c r="E62"/>
  <c r="E88" s="1"/>
  <c r="E59"/>
  <c r="E85" s="1"/>
  <c r="E39"/>
  <c r="G240" i="3"/>
  <c r="F61" i="6" s="1"/>
  <c r="F87" s="1"/>
  <c r="G222" i="3"/>
  <c r="F60" i="6" s="1"/>
  <c r="F86" s="1"/>
  <c r="E61"/>
  <c r="E87" s="1"/>
  <c r="E40"/>
  <c r="E66" s="1"/>
  <c r="E60"/>
  <c r="E86" s="1"/>
  <c r="G139" i="3"/>
  <c r="F44" i="6" s="1"/>
  <c r="F70" s="1"/>
  <c r="G293" i="3"/>
  <c r="F64" i="6" s="1"/>
  <c r="F90" s="1"/>
  <c r="G169" i="3"/>
  <c r="G153"/>
  <c r="F45" i="6" s="1"/>
  <c r="F71" s="1"/>
  <c r="G126" i="3"/>
  <c r="G75"/>
  <c r="F39" i="6" s="1"/>
  <c r="F9" i="1" l="1"/>
  <c r="F13"/>
  <c r="F17"/>
  <c r="F21"/>
  <c r="F25"/>
  <c r="F8"/>
  <c r="F12"/>
  <c r="F16"/>
  <c r="F20"/>
  <c r="F24"/>
  <c r="F7"/>
  <c r="F11"/>
  <c r="F15"/>
  <c r="F19"/>
  <c r="F23"/>
  <c r="F10"/>
  <c r="G10" s="1"/>
  <c r="D12" i="6" s="1"/>
  <c r="F14" i="1"/>
  <c r="F18"/>
  <c r="G18" s="1"/>
  <c r="D20" i="6" s="1"/>
  <c r="I20" s="1"/>
  <c r="J20" s="1"/>
  <c r="K20" s="1"/>
  <c r="M20" s="1"/>
  <c r="F22" i="1"/>
  <c r="L19" i="5"/>
  <c r="L9"/>
  <c r="L15"/>
  <c r="F34" i="1" s="1"/>
  <c r="L11" i="5"/>
  <c r="L8"/>
  <c r="L13"/>
  <c r="L12"/>
  <c r="L20"/>
  <c r="G8" i="1"/>
  <c r="D10" i="6" s="1"/>
  <c r="G12" i="1"/>
  <c r="D14" i="6" s="1"/>
  <c r="I14" s="1"/>
  <c r="J14" s="1"/>
  <c r="K14" s="1"/>
  <c r="M14" s="1"/>
  <c r="G19" i="1"/>
  <c r="D21" i="6" s="1"/>
  <c r="I21" s="1"/>
  <c r="J21" s="1"/>
  <c r="K21" s="1"/>
  <c r="M21" s="1"/>
  <c r="G9" i="1"/>
  <c r="D11" i="6" s="1"/>
  <c r="G21" i="1"/>
  <c r="D23" i="6" s="1"/>
  <c r="I23" s="1"/>
  <c r="J23" s="1"/>
  <c r="K23" s="1"/>
  <c r="M23" s="1"/>
  <c r="G24" i="1"/>
  <c r="D26" i="6" s="1"/>
  <c r="I26" s="1"/>
  <c r="J26" s="1"/>
  <c r="K26" s="1"/>
  <c r="M26" s="1"/>
  <c r="G25" i="1"/>
  <c r="D27" i="6" s="1"/>
  <c r="I27" s="1"/>
  <c r="J27" s="1"/>
  <c r="K27" s="1"/>
  <c r="M27" s="1"/>
  <c r="G22" i="1"/>
  <c r="D24" i="6" s="1"/>
  <c r="I24" s="1"/>
  <c r="J24" s="1"/>
  <c r="K24" s="1"/>
  <c r="M24" s="1"/>
  <c r="G13" i="1"/>
  <c r="D15" i="6" s="1"/>
  <c r="I15" s="1"/>
  <c r="J15" s="1"/>
  <c r="K15" s="1"/>
  <c r="M15" s="1"/>
  <c r="G23" i="1"/>
  <c r="D25" i="6" s="1"/>
  <c r="I25" s="1"/>
  <c r="J25" s="1"/>
  <c r="K25" s="1"/>
  <c r="M25" s="1"/>
  <c r="G15" i="1"/>
  <c r="D17" i="6" s="1"/>
  <c r="I17" s="1"/>
  <c r="J17" s="1"/>
  <c r="K17" s="1"/>
  <c r="M17" s="1"/>
  <c r="G20" i="1"/>
  <c r="D22" i="6" s="1"/>
  <c r="I22" s="1"/>
  <c r="J22" s="1"/>
  <c r="K22" s="1"/>
  <c r="M22" s="1"/>
  <c r="G16" i="1"/>
  <c r="D18" i="6" s="1"/>
  <c r="I18" s="1"/>
  <c r="J18" s="1"/>
  <c r="K18" s="1"/>
  <c r="M18" s="1"/>
  <c r="G17" i="1"/>
  <c r="D19" i="6" s="1"/>
  <c r="I19" s="1"/>
  <c r="J19" s="1"/>
  <c r="K19" s="1"/>
  <c r="M19" s="1"/>
  <c r="G11" i="1"/>
  <c r="D13" i="6" s="1"/>
  <c r="I13" s="1"/>
  <c r="J13" s="1"/>
  <c r="K13" s="1"/>
  <c r="M13" s="1"/>
  <c r="I125" i="4"/>
  <c r="H49" i="6"/>
  <c r="H75" s="1"/>
  <c r="F46"/>
  <c r="F72" s="1"/>
  <c r="G180" i="3"/>
  <c r="F42" i="6"/>
  <c r="F68" s="1"/>
  <c r="G138" i="3"/>
  <c r="F43" i="6" s="1"/>
  <c r="F69" s="1"/>
  <c r="E46"/>
  <c r="E72" s="1"/>
  <c r="G287" i="2"/>
  <c r="E42" i="6"/>
  <c r="E68" s="1"/>
  <c r="G192" i="2"/>
  <c r="E43" i="6" s="1"/>
  <c r="E69" s="1"/>
  <c r="G14" i="1"/>
  <c r="D16" i="6" s="1"/>
  <c r="I16" s="1"/>
  <c r="J16" s="1"/>
  <c r="K16" s="1"/>
  <c r="M16" s="1"/>
  <c r="G7" i="1"/>
  <c r="D9" i="6" s="1"/>
  <c r="L18" i="5"/>
  <c r="L17"/>
  <c r="G438" i="2"/>
  <c r="E63" i="6" s="1"/>
  <c r="E89" s="1"/>
  <c r="G163" i="2"/>
  <c r="E41" i="6" s="1"/>
  <c r="E67" s="1"/>
  <c r="G35" i="1"/>
  <c r="G34"/>
  <c r="D37" i="6" s="1"/>
  <c r="F29" i="1" l="1"/>
  <c r="G29" s="1"/>
  <c r="D31" i="6" s="1"/>
  <c r="F28" i="1"/>
  <c r="G28" s="1"/>
  <c r="D30" i="6" s="1"/>
  <c r="F32" i="1"/>
  <c r="G32" s="1"/>
  <c r="D34" i="6" s="1"/>
  <c r="F27" i="1"/>
  <c r="G27" s="1"/>
  <c r="D29" i="6" s="1"/>
  <c r="F31" i="1"/>
  <c r="G31" s="1"/>
  <c r="D33" i="6" s="1"/>
  <c r="F26" i="1"/>
  <c r="G26" s="1"/>
  <c r="D28" i="6" s="1"/>
  <c r="F30" i="1"/>
  <c r="G30" s="1"/>
  <c r="D32" i="6" s="1"/>
  <c r="F38" i="1"/>
  <c r="F46"/>
  <c r="G46" s="1"/>
  <c r="D49" i="6" s="1"/>
  <c r="D75" s="1"/>
  <c r="F50" i="1"/>
  <c r="G50" s="1"/>
  <c r="D53" i="6" s="1"/>
  <c r="D79" s="1"/>
  <c r="F54" i="1"/>
  <c r="G54" s="1"/>
  <c r="F37"/>
  <c r="F45"/>
  <c r="G45" s="1"/>
  <c r="D48" i="6" s="1"/>
  <c r="D74" s="1"/>
  <c r="F49" i="1"/>
  <c r="G49" s="1"/>
  <c r="D52" i="6" s="1"/>
  <c r="D78" s="1"/>
  <c r="F53" i="1"/>
  <c r="G53" s="1"/>
  <c r="F44"/>
  <c r="G44" s="1"/>
  <c r="D47" i="6" s="1"/>
  <c r="D73" s="1"/>
  <c r="F48" i="1"/>
  <c r="G48" s="1"/>
  <c r="D51" i="6" s="1"/>
  <c r="D77" s="1"/>
  <c r="F52" i="1"/>
  <c r="G52" s="1"/>
  <c r="D55" i="6" s="1"/>
  <c r="D81" s="1"/>
  <c r="F43" i="1"/>
  <c r="G43" s="1"/>
  <c r="D46" i="6" s="1"/>
  <c r="D72" s="1"/>
  <c r="F47" i="1"/>
  <c r="G47" s="1"/>
  <c r="D50" i="6" s="1"/>
  <c r="D76" s="1"/>
  <c r="F51" i="1"/>
  <c r="G51" s="1"/>
  <c r="D54" i="6" s="1"/>
  <c r="D80" s="1"/>
  <c r="F42" i="1"/>
  <c r="G42" s="1"/>
  <c r="D45" i="6" s="1"/>
  <c r="F58" i="1"/>
  <c r="G58" s="1"/>
  <c r="F41"/>
  <c r="F57"/>
  <c r="G57" s="1"/>
  <c r="D60" i="6" s="1"/>
  <c r="D86" s="1"/>
  <c r="F36" i="1"/>
  <c r="G36" s="1"/>
  <c r="F40"/>
  <c r="G40" s="1"/>
  <c r="D43" i="6" s="1"/>
  <c r="D69" s="1"/>
  <c r="F56" i="1"/>
  <c r="F60"/>
  <c r="G60" s="1"/>
  <c r="D63" i="6" s="1"/>
  <c r="D89" s="1"/>
  <c r="F39" i="1"/>
  <c r="F55"/>
  <c r="F61"/>
  <c r="G61" s="1"/>
  <c r="F59"/>
  <c r="G59" s="1"/>
  <c r="D62" i="6" s="1"/>
  <c r="D88" s="1"/>
  <c r="F6" i="1"/>
  <c r="G6" s="1"/>
  <c r="D8" i="6" s="1"/>
  <c r="F5" i="1"/>
  <c r="G5" s="1"/>
  <c r="D56" i="6"/>
  <c r="D82" s="1"/>
  <c r="D57"/>
  <c r="D83" s="1"/>
  <c r="G38" i="1"/>
  <c r="D41" i="6" s="1"/>
  <c r="D67" s="1"/>
  <c r="I37"/>
  <c r="J37" s="1"/>
  <c r="K37" s="1"/>
  <c r="M37" s="1"/>
  <c r="I45"/>
  <c r="J45" s="1"/>
  <c r="K45" s="1"/>
  <c r="M45" s="1"/>
  <c r="D71"/>
  <c r="I126" i="4"/>
  <c r="H50" i="6"/>
  <c r="H76" s="1"/>
  <c r="F47"/>
  <c r="F73" s="1"/>
  <c r="G181" i="3"/>
  <c r="I46" i="6"/>
  <c r="I43"/>
  <c r="G289" i="2"/>
  <c r="E47" i="6"/>
  <c r="E73" s="1"/>
  <c r="G288" i="2"/>
  <c r="D61" i="6"/>
  <c r="D38"/>
  <c r="D64"/>
  <c r="D39"/>
  <c r="G56" i="1"/>
  <c r="G39"/>
  <c r="G55"/>
  <c r="I30" i="6"/>
  <c r="D7"/>
  <c r="I32"/>
  <c r="I34"/>
  <c r="I11"/>
  <c r="I31"/>
  <c r="I33"/>
  <c r="I12"/>
  <c r="I28"/>
  <c r="I9"/>
  <c r="I29"/>
  <c r="I10"/>
  <c r="I8"/>
  <c r="G41" i="1"/>
  <c r="D44" i="6" s="1"/>
  <c r="G37" i="1"/>
  <c r="I60" i="6" l="1"/>
  <c r="I86" s="1"/>
  <c r="J86" s="1"/>
  <c r="K86" s="1"/>
  <c r="M86" s="1"/>
  <c r="I63"/>
  <c r="I89" s="1"/>
  <c r="J89" s="1"/>
  <c r="K89" s="1"/>
  <c r="M89" s="1"/>
  <c r="I62"/>
  <c r="I88" s="1"/>
  <c r="J88" s="1"/>
  <c r="K88" s="1"/>
  <c r="M88" s="1"/>
  <c r="I41"/>
  <c r="I67" s="1"/>
  <c r="J67" s="1"/>
  <c r="K67" s="1"/>
  <c r="M67" s="1"/>
  <c r="I71"/>
  <c r="J71" s="1"/>
  <c r="K71" s="1"/>
  <c r="M71" s="1"/>
  <c r="I61"/>
  <c r="I87" s="1"/>
  <c r="J87" s="1"/>
  <c r="K87" s="1"/>
  <c r="M87" s="1"/>
  <c r="D87"/>
  <c r="I38"/>
  <c r="J38" s="1"/>
  <c r="K38" s="1"/>
  <c r="I44"/>
  <c r="I70" s="1"/>
  <c r="J70" s="1"/>
  <c r="K70" s="1"/>
  <c r="M70" s="1"/>
  <c r="D70"/>
  <c r="I64"/>
  <c r="I90" s="1"/>
  <c r="J90" s="1"/>
  <c r="K90" s="1"/>
  <c r="M90" s="1"/>
  <c r="D90"/>
  <c r="I39"/>
  <c r="J39" s="1"/>
  <c r="K39" s="1"/>
  <c r="M39" s="1"/>
  <c r="J43"/>
  <c r="K43" s="1"/>
  <c r="M43" s="1"/>
  <c r="I69"/>
  <c r="J46"/>
  <c r="K46" s="1"/>
  <c r="M46" s="1"/>
  <c r="I72"/>
  <c r="I127" i="4"/>
  <c r="H51" i="6"/>
  <c r="H77" s="1"/>
  <c r="G182" i="3"/>
  <c r="F48" i="6"/>
  <c r="F74" s="1"/>
  <c r="I47"/>
  <c r="G291" i="2"/>
  <c r="E49" i="6"/>
  <c r="E75" s="1"/>
  <c r="G290" i="2"/>
  <c r="E48" i="6"/>
  <c r="E74" s="1"/>
  <c r="J29"/>
  <c r="K29" s="1"/>
  <c r="M29" s="1"/>
  <c r="J11"/>
  <c r="K11" s="1"/>
  <c r="M11" s="1"/>
  <c r="J30"/>
  <c r="K30" s="1"/>
  <c r="M30" s="1"/>
  <c r="J8"/>
  <c r="K8" s="1"/>
  <c r="M8" s="1"/>
  <c r="J28"/>
  <c r="K28" s="1"/>
  <c r="M28" s="1"/>
  <c r="J31"/>
  <c r="K31" s="1"/>
  <c r="M31" s="1"/>
  <c r="J32"/>
  <c r="K32" s="1"/>
  <c r="M32" s="1"/>
  <c r="J9"/>
  <c r="K9" s="1"/>
  <c r="M9" s="1"/>
  <c r="J33"/>
  <c r="K33" s="1"/>
  <c r="M33" s="1"/>
  <c r="J34"/>
  <c r="K34" s="1"/>
  <c r="M34" s="1"/>
  <c r="J10"/>
  <c r="K10" s="1"/>
  <c r="M10" s="1"/>
  <c r="J12"/>
  <c r="K12" s="1"/>
  <c r="M12" s="1"/>
  <c r="D42"/>
  <c r="D40"/>
  <c r="D59"/>
  <c r="D58"/>
  <c r="I7"/>
  <c r="J60" l="1"/>
  <c r="K60" s="1"/>
  <c r="M60" s="1"/>
  <c r="J62"/>
  <c r="K62" s="1"/>
  <c r="M62" s="1"/>
  <c r="J63"/>
  <c r="K63" s="1"/>
  <c r="M63" s="1"/>
  <c r="J41"/>
  <c r="K41" s="1"/>
  <c r="M41" s="1"/>
  <c r="J61"/>
  <c r="K61" s="1"/>
  <c r="M61" s="1"/>
  <c r="J44"/>
  <c r="K44" s="1"/>
  <c r="M44" s="1"/>
  <c r="J64"/>
  <c r="K64" s="1"/>
  <c r="M64" s="1"/>
  <c r="I42"/>
  <c r="I68" s="1"/>
  <c r="J68" s="1"/>
  <c r="K68" s="1"/>
  <c r="M68" s="1"/>
  <c r="D68"/>
  <c r="I40"/>
  <c r="I66" s="1"/>
  <c r="J66" s="1"/>
  <c r="K66" s="1"/>
  <c r="M66" s="1"/>
  <c r="D66"/>
  <c r="I59"/>
  <c r="I85" s="1"/>
  <c r="J85" s="1"/>
  <c r="K85" s="1"/>
  <c r="M85" s="1"/>
  <c r="D85"/>
  <c r="I58"/>
  <c r="I84" s="1"/>
  <c r="J84" s="1"/>
  <c r="K84" s="1"/>
  <c r="M84" s="1"/>
  <c r="D84"/>
  <c r="J47"/>
  <c r="K47" s="1"/>
  <c r="M47" s="1"/>
  <c r="I73"/>
  <c r="J72"/>
  <c r="K72" s="1"/>
  <c r="M72" s="1"/>
  <c r="J69"/>
  <c r="K69" s="1"/>
  <c r="M69" s="1"/>
  <c r="M38"/>
  <c r="I128" i="4"/>
  <c r="H52" i="6"/>
  <c r="H78" s="1"/>
  <c r="G183" i="3"/>
  <c r="F49" i="6"/>
  <c r="G184" i="3"/>
  <c r="I48" i="6"/>
  <c r="G293" i="2"/>
  <c r="E51" i="6"/>
  <c r="E77" s="1"/>
  <c r="E50"/>
  <c r="E76" s="1"/>
  <c r="G292" i="2"/>
  <c r="J7" i="6"/>
  <c r="K7" s="1"/>
  <c r="J40" l="1"/>
  <c r="K40" s="1"/>
  <c r="M40" s="1"/>
  <c r="J42"/>
  <c r="K42" s="1"/>
  <c r="J59"/>
  <c r="K59" s="1"/>
  <c r="M59" s="1"/>
  <c r="J58"/>
  <c r="K58" s="1"/>
  <c r="M58" s="1"/>
  <c r="J48"/>
  <c r="K48" s="1"/>
  <c r="M48" s="1"/>
  <c r="I74"/>
  <c r="I49"/>
  <c r="F75"/>
  <c r="J73"/>
  <c r="K73" s="1"/>
  <c r="M73" s="1"/>
  <c r="M7"/>
  <c r="I129" i="4"/>
  <c r="H53" i="6"/>
  <c r="H79" s="1"/>
  <c r="F50"/>
  <c r="G185" i="3"/>
  <c r="G186"/>
  <c r="F51" i="6"/>
  <c r="G294" i="2"/>
  <c r="E52" i="6"/>
  <c r="E78" s="1"/>
  <c r="G295" i="2"/>
  <c r="E55" i="6" s="1"/>
  <c r="E81" s="1"/>
  <c r="E53"/>
  <c r="E79" s="1"/>
  <c r="I51" l="1"/>
  <c r="F77"/>
  <c r="I50"/>
  <c r="F76"/>
  <c r="J74"/>
  <c r="K74" s="1"/>
  <c r="M74" s="1"/>
  <c r="J49"/>
  <c r="K49" s="1"/>
  <c r="M49" s="1"/>
  <c r="I75"/>
  <c r="M42"/>
  <c r="I130" i="4"/>
  <c r="H54" i="6"/>
  <c r="H80" s="1"/>
  <c r="G187" i="3"/>
  <c r="F52" i="6"/>
  <c r="G188" i="3"/>
  <c r="F55" i="6" s="1"/>
  <c r="F53"/>
  <c r="E54"/>
  <c r="E80" s="1"/>
  <c r="G296" i="2"/>
  <c r="E57" i="6" s="1"/>
  <c r="E83" s="1"/>
  <c r="I52" l="1"/>
  <c r="F78"/>
  <c r="J51"/>
  <c r="K51" s="1"/>
  <c r="M51" s="1"/>
  <c r="I77"/>
  <c r="I55"/>
  <c r="F81"/>
  <c r="I53"/>
  <c r="F79"/>
  <c r="J50"/>
  <c r="K50" s="1"/>
  <c r="M50" s="1"/>
  <c r="I76"/>
  <c r="J76" s="1"/>
  <c r="K76" s="1"/>
  <c r="M76" s="1"/>
  <c r="J75"/>
  <c r="K75" s="1"/>
  <c r="M75" s="1"/>
  <c r="I131" i="4"/>
  <c r="H55" i="6"/>
  <c r="H81" s="1"/>
  <c r="E56"/>
  <c r="E82" s="1"/>
  <c r="G297" i="2"/>
  <c r="F54" i="6"/>
  <c r="G189" i="3"/>
  <c r="J55" i="6" l="1"/>
  <c r="K55" s="1"/>
  <c r="M55" s="1"/>
  <c r="I81"/>
  <c r="J81" s="1"/>
  <c r="K81" s="1"/>
  <c r="M81" s="1"/>
  <c r="J52"/>
  <c r="K52" s="1"/>
  <c r="M52" s="1"/>
  <c r="I78"/>
  <c r="I54"/>
  <c r="F80"/>
  <c r="J53"/>
  <c r="K53" s="1"/>
  <c r="M53" s="1"/>
  <c r="I79"/>
  <c r="J77"/>
  <c r="K77" s="1"/>
  <c r="M77" s="1"/>
  <c r="H57"/>
  <c r="H83" s="1"/>
  <c r="I132" i="4"/>
  <c r="H56" i="6" s="1"/>
  <c r="H82" s="1"/>
  <c r="F57"/>
  <c r="G190" i="3"/>
  <c r="F56" i="6" s="1"/>
  <c r="I56" l="1"/>
  <c r="F82"/>
  <c r="J54"/>
  <c r="K54" s="1"/>
  <c r="M54" s="1"/>
  <c r="I80"/>
  <c r="J80" s="1"/>
  <c r="K80" s="1"/>
  <c r="M80" s="1"/>
  <c r="I57"/>
  <c r="F83"/>
  <c r="J79"/>
  <c r="K79" s="1"/>
  <c r="M79" s="1"/>
  <c r="J78"/>
  <c r="K78" s="1"/>
  <c r="M78" s="1"/>
  <c r="J57" l="1"/>
  <c r="K57" s="1"/>
  <c r="M57" s="1"/>
  <c r="I83"/>
  <c r="J56"/>
  <c r="K56" s="1"/>
  <c r="M56" s="1"/>
  <c r="I82"/>
  <c r="J82" l="1"/>
  <c r="K82" s="1"/>
  <c r="M82" s="1"/>
  <c r="J83"/>
  <c r="K83" s="1"/>
  <c r="M83" s="1"/>
</calcChain>
</file>

<file path=xl/sharedStrings.xml><?xml version="1.0" encoding="utf-8"?>
<sst xmlns="http://schemas.openxmlformats.org/spreadsheetml/2006/main" count="2558" uniqueCount="470">
  <si>
    <t>STT</t>
  </si>
  <si>
    <t>Mã hiệu</t>
  </si>
  <si>
    <t>Thông số quan trắc</t>
  </si>
  <si>
    <t>Định biên</t>
  </si>
  <si>
    <t>Dầu mỡ</t>
  </si>
  <si>
    <t>Crom (VI)</t>
  </si>
  <si>
    <t xml:space="preserve">Phenol </t>
  </si>
  <si>
    <t>HCBVTV clo hữu cơ</t>
  </si>
  <si>
    <t>HCBVTV phot pho hữu cơ</t>
  </si>
  <si>
    <t>PCBs</t>
  </si>
  <si>
    <t>Danh mục dụng cụ</t>
  </si>
  <si>
    <t>Đơn vị tính</t>
  </si>
  <si>
    <t>Thời hạn</t>
  </si>
  <si>
    <t>(tháng)</t>
  </si>
  <si>
    <t>Định mức</t>
  </si>
  <si>
    <t>Chai đựng hóa chất</t>
  </si>
  <si>
    <t>cái</t>
  </si>
  <si>
    <t>Micropipet 5ml</t>
  </si>
  <si>
    <t>Đầu cone 1ml</t>
  </si>
  <si>
    <t>Bình định mức 50ml</t>
  </si>
  <si>
    <t>Bình định mức 100ml</t>
  </si>
  <si>
    <t>Bình định mức 250ml</t>
  </si>
  <si>
    <t>bộ</t>
  </si>
  <si>
    <t>Bình nhựa 2 lít</t>
  </si>
  <si>
    <t>Bình nhựa 5 lít</t>
  </si>
  <si>
    <t>Chai nhựa 0,5 lít</t>
  </si>
  <si>
    <t>Khẩu trang y tế</t>
  </si>
  <si>
    <t>Quạt trần 100w</t>
  </si>
  <si>
    <t>Quạt thông gió 40w</t>
  </si>
  <si>
    <t>Máy hút bụi 2kw</t>
  </si>
  <si>
    <t>Máy hút ẩm 1,5kw</t>
  </si>
  <si>
    <t>Đèn neon 40w</t>
  </si>
  <si>
    <t>Tủ đựng tài liệu</t>
  </si>
  <si>
    <t>Bàn làm việc</t>
  </si>
  <si>
    <t>Ghế tựa</t>
  </si>
  <si>
    <t>Điện năng</t>
  </si>
  <si>
    <t>kw</t>
  </si>
  <si>
    <t>Bình định mức 1000ml</t>
  </si>
  <si>
    <t>Pipet 5ml</t>
  </si>
  <si>
    <t>Đầu cone 5ml</t>
  </si>
  <si>
    <t>Bình tia</t>
  </si>
  <si>
    <t>Cốc thủy tinh</t>
  </si>
  <si>
    <t>Đũa thủy tinh</t>
  </si>
  <si>
    <t>Bình tam giác 250ml</t>
  </si>
  <si>
    <t>Micropipet 1ml</t>
  </si>
  <si>
    <t>bình</t>
  </si>
  <si>
    <t>Pipet 10ml</t>
  </si>
  <si>
    <t>Ống đong 100ml</t>
  </si>
  <si>
    <t>Ống đong 250ml</t>
  </si>
  <si>
    <t>hộp</t>
  </si>
  <si>
    <t>Cái</t>
  </si>
  <si>
    <t>Bình định mức 25ml</t>
  </si>
  <si>
    <t>Cuvet 1cm</t>
  </si>
  <si>
    <t>Cốc thủy tinh 250ml</t>
  </si>
  <si>
    <t>Bình nhựa 0,5 lít</t>
  </si>
  <si>
    <t>Ống chứa mẫu 15ml (có nắp)</t>
  </si>
  <si>
    <t>Ống hút</t>
  </si>
  <si>
    <t>Bình định mức 500ml</t>
  </si>
  <si>
    <t>Pipet 1ml</t>
  </si>
  <si>
    <t>Phễu lọc thủy tinh</t>
  </si>
  <si>
    <t>Burret chuẩn độ tự động</t>
  </si>
  <si>
    <t xml:space="preserve">Cái </t>
  </si>
  <si>
    <t>Đèn D2</t>
  </si>
  <si>
    <t>Đèn Tungsten</t>
  </si>
  <si>
    <t>Đôi</t>
  </si>
  <si>
    <t>Kw</t>
  </si>
  <si>
    <t>Cuvet Graphit</t>
  </si>
  <si>
    <t>Đèn HCL</t>
  </si>
  <si>
    <t>Cuvet thạch anh cho FIAS</t>
  </si>
  <si>
    <t>Màng lọc cho FIAS</t>
  </si>
  <si>
    <t>Đèn EDL</t>
  </si>
  <si>
    <t>Cột sắc ký thủy tinh</t>
  </si>
  <si>
    <t>Cột tách mao quản</t>
  </si>
  <si>
    <t>Phễu chiết 500ml</t>
  </si>
  <si>
    <t>Phễu chiết 1000ml</t>
  </si>
  <si>
    <t>Kim tiêm mẫu (syringe 10uL)</t>
  </si>
  <si>
    <t>Danh mục vật tư</t>
  </si>
  <si>
    <t>Định mức </t>
  </si>
  <si>
    <t>gam</t>
  </si>
  <si>
    <t>Cồn lau dụng cụ</t>
  </si>
  <si>
    <t>ml</t>
  </si>
  <si>
    <t>Sổ công tác</t>
  </si>
  <si>
    <t>cuốn</t>
  </si>
  <si>
    <t>NaOH</t>
  </si>
  <si>
    <t>Dung môi</t>
  </si>
  <si>
    <t>Dung dịch chuẩn gốc 1000ppm</t>
  </si>
  <si>
    <t>Giấy lau</t>
  </si>
  <si>
    <t>Giấy thử pH</t>
  </si>
  <si>
    <t>Cloramin T</t>
  </si>
  <si>
    <t>Axit Bacbituric</t>
  </si>
  <si>
    <t>KI</t>
  </si>
  <si>
    <t>Phenol</t>
  </si>
  <si>
    <t>4-Amino-Antypyrin</t>
  </si>
  <si>
    <t>NaBr</t>
  </si>
  <si>
    <t>Phenol chuẩn</t>
  </si>
  <si>
    <t>Gram</t>
  </si>
  <si>
    <t xml:space="preserve">ml </t>
  </si>
  <si>
    <t>NaCN</t>
  </si>
  <si>
    <t>Hộp</t>
  </si>
  <si>
    <t>NH4NO3</t>
  </si>
  <si>
    <t>Bột Pd</t>
  </si>
  <si>
    <t>Khí argon</t>
  </si>
  <si>
    <t>Khí axetylen</t>
  </si>
  <si>
    <t>HNO3</t>
  </si>
  <si>
    <t>H2O2</t>
  </si>
  <si>
    <t>H2SO4</t>
  </si>
  <si>
    <t>NaBH4</t>
  </si>
  <si>
    <t>Dung dịch chuẩn mix 13</t>
  </si>
  <si>
    <t>Dung dịch nội chuẩn</t>
  </si>
  <si>
    <t>Aceton</t>
  </si>
  <si>
    <t>n-Hexan</t>
  </si>
  <si>
    <t xml:space="preserve">Septa cho vial </t>
  </si>
  <si>
    <t>Vial</t>
  </si>
  <si>
    <t>Bông thủy tinh</t>
  </si>
  <si>
    <t>Pipet Pasteur</t>
  </si>
  <si>
    <t>Khí Nitơ</t>
  </si>
  <si>
    <t>Khí Heli</t>
  </si>
  <si>
    <t>Dung dịch chuẩn</t>
  </si>
  <si>
    <t>Hóa chất BVTV nhóm phot pho hữu cơ</t>
  </si>
  <si>
    <t>Dung dịch chuẩn đa nguyên tố (ICP Standard)</t>
  </si>
  <si>
    <t>Dung dịch chuẩn thẩm tra hiệu năng của thiết bị</t>
  </si>
  <si>
    <t>Tủ sấy</t>
  </si>
  <si>
    <t>Máy điều hòa nhiệt độ</t>
  </si>
  <si>
    <t>Tủ hút</t>
  </si>
  <si>
    <t>Máy quang phổ UV-VIS</t>
  </si>
  <si>
    <t>Lò vi sóng</t>
  </si>
  <si>
    <t>Thiết bị phá mẫu</t>
  </si>
  <si>
    <t>Máy phân tích quang phổ AAS</t>
  </si>
  <si>
    <t>Bộ phân tích thủy ngân và asen MHS hoặc FIAS</t>
  </si>
  <si>
    <t>Tủ lưu hóa chất</t>
  </si>
  <si>
    <t>Bộ Soxlel</t>
  </si>
  <si>
    <t>Máy cất quay chân không</t>
  </si>
  <si>
    <t>Bể ổn định nhiệt</t>
  </si>
  <si>
    <t>Bể siêu âm</t>
  </si>
  <si>
    <t>Bơm chân không</t>
  </si>
  <si>
    <t>Máy phân tích sắc ký GC</t>
  </si>
  <si>
    <t>Máy cô nitơ</t>
  </si>
  <si>
    <t>Hệ thống ICP</t>
  </si>
  <si>
    <t>Danh mục thiết bị</t>
  </si>
  <si>
    <t>Định mức (Ca)</t>
  </si>
  <si>
    <r>
      <t>Crom (VI) (Cr</t>
    </r>
    <r>
      <rPr>
        <b/>
        <vertAlign val="superscript"/>
        <sz val="12"/>
        <rFont val="Times New Roman"/>
        <family val="1"/>
      </rPr>
      <t>6+</t>
    </r>
    <r>
      <rPr>
        <b/>
        <sz val="12"/>
        <rFont val="Times New Roman"/>
        <family val="1"/>
      </rPr>
      <t>)</t>
    </r>
  </si>
  <si>
    <r>
      <t>Cyanua (CN</t>
    </r>
    <r>
      <rPr>
        <b/>
        <i/>
        <vertAlign val="superscript"/>
        <sz val="12"/>
        <rFont val="Times New Roman"/>
        <family val="1"/>
      </rPr>
      <t>-</t>
    </r>
    <r>
      <rPr>
        <b/>
        <i/>
        <sz val="12"/>
        <rFont val="Times New Roman"/>
        <family val="1"/>
      </rPr>
      <t xml:space="preserve">) </t>
    </r>
  </si>
  <si>
    <t>Quartz torches</t>
  </si>
  <si>
    <t xml:space="preserve">Phân tích đồng thời các kim loại </t>
  </si>
  <si>
    <r>
      <t xml:space="preserve"> Cyanua (CN</t>
    </r>
    <r>
      <rPr>
        <vertAlign val="superscript"/>
        <sz val="12"/>
        <color theme="1"/>
        <rFont val="Times New Roman"/>
        <family val="1"/>
      </rPr>
      <t>-</t>
    </r>
    <r>
      <rPr>
        <sz val="12"/>
        <color theme="1"/>
        <rFont val="Times New Roman"/>
        <family val="1"/>
      </rPr>
      <t>)</t>
    </r>
  </si>
  <si>
    <r>
      <t>Kim loại nặng (Pb</t>
    </r>
    <r>
      <rPr>
        <vertAlign val="superscript"/>
        <sz val="12"/>
        <color theme="1"/>
        <rFont val="Times New Roman"/>
        <family val="1"/>
      </rPr>
      <t xml:space="preserve"> </t>
    </r>
    <r>
      <rPr>
        <sz val="12"/>
        <color theme="1"/>
        <rFont val="Times New Roman"/>
        <family val="1"/>
      </rPr>
      <t xml:space="preserve">, Cd) </t>
    </r>
  </si>
  <si>
    <t xml:space="preserve">Kim loại nặng ( As) </t>
  </si>
  <si>
    <t>ĐƠN GIÁ TIỀN LƯƠNG LAO ĐỘNG KỸ THUẬT</t>
  </si>
  <si>
    <t>Số TT</t>
  </si>
  <si>
    <t>Chức danh</t>
  </si>
  <si>
    <t>Hệ số lương</t>
  </si>
  <si>
    <t>Lương cấp bậc</t>
  </si>
  <si>
    <t>Lương phụ 11%</t>
  </si>
  <si>
    <t>Phụ cấp Lưu động (0,4)</t>
  </si>
  <si>
    <t>Phụ cấp Độc hại (0,1)</t>
  </si>
  <si>
    <t>Phụ cấp tổ trưởng  0,2/5</t>
  </si>
  <si>
    <t xml:space="preserve">BHXH, YT, TN, KPCĐ </t>
  </si>
  <si>
    <t>Tổng cộng lương tháng</t>
  </si>
  <si>
    <t>Đơn giá tiền lương</t>
  </si>
  <si>
    <t>(1)</t>
  </si>
  <si>
    <t>(2)</t>
  </si>
  <si>
    <t>(3)</t>
  </si>
  <si>
    <t>(4)</t>
  </si>
  <si>
    <t>(5) = 11%*(4)</t>
  </si>
  <si>
    <t>(6)</t>
  </si>
  <si>
    <t>(7)</t>
  </si>
  <si>
    <t>(8)</t>
  </si>
  <si>
    <t>I</t>
  </si>
  <si>
    <t>NGOẠI NGHIỆP</t>
  </si>
  <si>
    <t>II</t>
  </si>
  <si>
    <t>NỘI NGHIỆP</t>
  </si>
  <si>
    <t>Đơn vị tính: đồng</t>
  </si>
  <si>
    <t>Đơn giá lương ngày</t>
  </si>
  <si>
    <t xml:space="preserve">Thành tiền
</t>
  </si>
  <si>
    <t>Ðơn giá (đồng)</t>
  </si>
  <si>
    <t>Thành tiền (đồng)</t>
  </si>
  <si>
    <t>ĐVT: Đồng</t>
  </si>
  <si>
    <t>PHỤ LỤC 1.3</t>
  </si>
  <si>
    <t>Đơn giá</t>
  </si>
  <si>
    <t>Thành tiền</t>
  </si>
  <si>
    <r>
      <t>NH</t>
    </r>
    <r>
      <rPr>
        <vertAlign val="subscript"/>
        <sz val="12"/>
        <rFont val="Times New Roman"/>
        <family val="1"/>
      </rPr>
      <t>4</t>
    </r>
    <r>
      <rPr>
        <sz val="12"/>
        <rFont val="Times New Roman"/>
        <family val="1"/>
      </rPr>
      <t>Cl</t>
    </r>
  </si>
  <si>
    <r>
      <t>H</t>
    </r>
    <r>
      <rPr>
        <vertAlign val="subscript"/>
        <sz val="12"/>
        <rFont val="Times New Roman"/>
        <family val="1"/>
      </rPr>
      <t>2</t>
    </r>
    <r>
      <rPr>
        <sz val="12"/>
        <rFont val="Times New Roman"/>
        <family val="1"/>
      </rPr>
      <t>SO</t>
    </r>
    <r>
      <rPr>
        <vertAlign val="subscript"/>
        <sz val="12"/>
        <rFont val="Times New Roman"/>
        <family val="1"/>
      </rPr>
      <t>4</t>
    </r>
  </si>
  <si>
    <r>
      <t>Na</t>
    </r>
    <r>
      <rPr>
        <vertAlign val="subscript"/>
        <sz val="12"/>
        <rFont val="Times New Roman"/>
        <family val="1"/>
      </rPr>
      <t>2</t>
    </r>
    <r>
      <rPr>
        <sz val="12"/>
        <rFont val="Times New Roman"/>
        <family val="1"/>
      </rPr>
      <t>SO</t>
    </r>
    <r>
      <rPr>
        <vertAlign val="subscript"/>
        <sz val="12"/>
        <rFont val="Times New Roman"/>
        <family val="1"/>
      </rPr>
      <t>4</t>
    </r>
  </si>
  <si>
    <r>
      <t>MgCl</t>
    </r>
    <r>
      <rPr>
        <vertAlign val="subscript"/>
        <sz val="12"/>
        <rFont val="Times New Roman"/>
        <family val="1"/>
      </rPr>
      <t>2</t>
    </r>
  </si>
  <si>
    <r>
      <t>CH</t>
    </r>
    <r>
      <rPr>
        <vertAlign val="subscript"/>
        <sz val="12"/>
        <rFont val="Times New Roman"/>
        <family val="1"/>
      </rPr>
      <t>3</t>
    </r>
    <r>
      <rPr>
        <sz val="12"/>
        <rFont val="Times New Roman"/>
        <family val="1"/>
      </rPr>
      <t>COONa.3H</t>
    </r>
    <r>
      <rPr>
        <vertAlign val="subscript"/>
        <sz val="12"/>
        <rFont val="Times New Roman"/>
        <family val="1"/>
      </rPr>
      <t>2</t>
    </r>
    <r>
      <rPr>
        <sz val="12"/>
        <rFont val="Times New Roman"/>
        <family val="1"/>
      </rPr>
      <t>O</t>
    </r>
  </si>
  <si>
    <r>
      <t>CH</t>
    </r>
    <r>
      <rPr>
        <vertAlign val="subscript"/>
        <sz val="12"/>
        <rFont val="Times New Roman"/>
        <family val="1"/>
      </rPr>
      <t>3</t>
    </r>
    <r>
      <rPr>
        <sz val="12"/>
        <rFont val="Times New Roman"/>
        <family val="1"/>
      </rPr>
      <t>COOH</t>
    </r>
  </si>
  <si>
    <r>
      <t>AgNO</t>
    </r>
    <r>
      <rPr>
        <vertAlign val="subscript"/>
        <sz val="12"/>
        <rFont val="Times New Roman"/>
        <family val="1"/>
      </rPr>
      <t>3</t>
    </r>
  </si>
  <si>
    <r>
      <t>K</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8</t>
    </r>
  </si>
  <si>
    <r>
      <t>H</t>
    </r>
    <r>
      <rPr>
        <vertAlign val="subscript"/>
        <sz val="12"/>
        <rFont val="Times New Roman"/>
        <family val="1"/>
      </rPr>
      <t>3</t>
    </r>
    <r>
      <rPr>
        <sz val="12"/>
        <rFont val="Times New Roman"/>
        <family val="1"/>
      </rPr>
      <t>PO</t>
    </r>
    <r>
      <rPr>
        <vertAlign val="subscript"/>
        <sz val="12"/>
        <rFont val="Times New Roman"/>
        <family val="1"/>
      </rPr>
      <t>4</t>
    </r>
  </si>
  <si>
    <r>
      <t>K</t>
    </r>
    <r>
      <rPr>
        <vertAlign val="subscript"/>
        <sz val="12"/>
        <rFont val="Times New Roman"/>
        <family val="1"/>
      </rPr>
      <t>3</t>
    </r>
    <r>
      <rPr>
        <sz val="12"/>
        <rFont val="Times New Roman"/>
        <family val="1"/>
      </rPr>
      <t>Fe(CN)</t>
    </r>
    <r>
      <rPr>
        <vertAlign val="subscript"/>
        <sz val="12"/>
        <rFont val="Times New Roman"/>
        <family val="1"/>
      </rPr>
      <t>6</t>
    </r>
  </si>
  <si>
    <r>
      <t>NaKC</t>
    </r>
    <r>
      <rPr>
        <vertAlign val="subscript"/>
        <sz val="12"/>
        <rFont val="Times New Roman"/>
        <family val="1"/>
      </rPr>
      <t>4</t>
    </r>
    <r>
      <rPr>
        <sz val="12"/>
        <rFont val="Times New Roman"/>
        <family val="1"/>
      </rPr>
      <t>H</t>
    </r>
    <r>
      <rPr>
        <vertAlign val="subscript"/>
        <sz val="12"/>
        <rFont val="Times New Roman"/>
        <family val="1"/>
      </rPr>
      <t>4</t>
    </r>
    <r>
      <rPr>
        <sz val="12"/>
        <rFont val="Times New Roman"/>
        <family val="1"/>
      </rPr>
      <t>O</t>
    </r>
    <r>
      <rPr>
        <vertAlign val="subscript"/>
        <sz val="12"/>
        <rFont val="Times New Roman"/>
        <family val="1"/>
      </rPr>
      <t>6</t>
    </r>
  </si>
  <si>
    <r>
      <t>NH</t>
    </r>
    <r>
      <rPr>
        <vertAlign val="subscript"/>
        <sz val="12"/>
        <rFont val="Times New Roman"/>
        <family val="1"/>
      </rPr>
      <t>4</t>
    </r>
    <r>
      <rPr>
        <sz val="12"/>
        <rFont val="Times New Roman"/>
        <family val="1"/>
      </rPr>
      <t>OH</t>
    </r>
  </si>
  <si>
    <r>
      <t>Na</t>
    </r>
    <r>
      <rPr>
        <vertAlign val="subscript"/>
        <sz val="12"/>
        <rFont val="Times New Roman"/>
        <family val="1"/>
      </rPr>
      <t>2</t>
    </r>
    <r>
      <rPr>
        <sz val="12"/>
        <rFont val="Times New Roman"/>
        <family val="1"/>
      </rPr>
      <t>S</t>
    </r>
    <r>
      <rPr>
        <vertAlign val="subscript"/>
        <sz val="12"/>
        <rFont val="Times New Roman"/>
        <family val="1"/>
      </rPr>
      <t>2</t>
    </r>
    <r>
      <rPr>
        <sz val="12"/>
        <rFont val="Times New Roman"/>
        <family val="1"/>
      </rPr>
      <t>O</t>
    </r>
    <r>
      <rPr>
        <vertAlign val="subscript"/>
        <sz val="12"/>
        <rFont val="Times New Roman"/>
        <family val="1"/>
      </rPr>
      <t>3</t>
    </r>
  </si>
  <si>
    <r>
      <t>CuSO</t>
    </r>
    <r>
      <rPr>
        <vertAlign val="subscript"/>
        <sz val="12"/>
        <rFont val="Times New Roman"/>
        <family val="1"/>
      </rPr>
      <t>4</t>
    </r>
    <r>
      <rPr>
        <sz val="12"/>
        <rFont val="Times New Roman"/>
        <family val="1"/>
      </rPr>
      <t>.5H</t>
    </r>
    <r>
      <rPr>
        <vertAlign val="subscript"/>
        <sz val="12"/>
        <rFont val="Times New Roman"/>
        <family val="1"/>
      </rPr>
      <t>2</t>
    </r>
    <r>
      <rPr>
        <sz val="12"/>
        <rFont val="Times New Roman"/>
        <family val="1"/>
      </rPr>
      <t>O</t>
    </r>
  </si>
  <si>
    <r>
      <t>HNO</t>
    </r>
    <r>
      <rPr>
        <vertAlign val="subscript"/>
        <sz val="12"/>
        <rFont val="Times New Roman"/>
        <family val="1"/>
      </rPr>
      <t>3</t>
    </r>
  </si>
  <si>
    <r>
      <t>H</t>
    </r>
    <r>
      <rPr>
        <vertAlign val="subscript"/>
        <sz val="12"/>
        <rFont val="Times New Roman"/>
        <family val="1"/>
      </rPr>
      <t>2</t>
    </r>
    <r>
      <rPr>
        <sz val="12"/>
        <rFont val="Times New Roman"/>
        <family val="1"/>
      </rPr>
      <t>O</t>
    </r>
    <r>
      <rPr>
        <vertAlign val="subscript"/>
        <sz val="12"/>
        <rFont val="Times New Roman"/>
        <family val="1"/>
      </rPr>
      <t>2</t>
    </r>
  </si>
  <si>
    <r>
      <t>KMnO</t>
    </r>
    <r>
      <rPr>
        <vertAlign val="subscript"/>
        <sz val="12"/>
        <rFont val="Times New Roman"/>
        <family val="1"/>
      </rPr>
      <t>4</t>
    </r>
  </si>
  <si>
    <r>
      <t>NH</t>
    </r>
    <r>
      <rPr>
        <vertAlign val="subscript"/>
        <sz val="12"/>
        <rFont val="Times New Roman"/>
        <family val="1"/>
      </rPr>
      <t>4</t>
    </r>
    <r>
      <rPr>
        <sz val="12"/>
        <rFont val="Times New Roman"/>
        <family val="1"/>
      </rPr>
      <t>OCl</t>
    </r>
  </si>
  <si>
    <r>
      <t>SnC</t>
    </r>
    <r>
      <rPr>
        <vertAlign val="subscript"/>
        <sz val="12"/>
        <rFont val="Times New Roman"/>
        <family val="1"/>
      </rPr>
      <t>l2</t>
    </r>
    <r>
      <rPr>
        <sz val="12"/>
        <rFont val="Times New Roman"/>
        <family val="1"/>
      </rPr>
      <t>.2H</t>
    </r>
    <r>
      <rPr>
        <vertAlign val="subscript"/>
        <sz val="12"/>
        <rFont val="Times New Roman"/>
        <family val="1"/>
      </rPr>
      <t>2</t>
    </r>
    <r>
      <rPr>
        <sz val="12"/>
        <rFont val="Times New Roman"/>
        <family val="1"/>
      </rPr>
      <t>O</t>
    </r>
  </si>
  <si>
    <r>
      <t>CH</t>
    </r>
    <r>
      <rPr>
        <vertAlign val="subscript"/>
        <sz val="12"/>
        <rFont val="Times New Roman"/>
        <family val="1"/>
      </rPr>
      <t>2</t>
    </r>
    <r>
      <rPr>
        <sz val="12"/>
        <rFont val="Times New Roman"/>
        <family val="1"/>
      </rPr>
      <t>Cl</t>
    </r>
    <r>
      <rPr>
        <vertAlign val="subscript"/>
        <sz val="12"/>
        <rFont val="Times New Roman"/>
        <family val="1"/>
      </rPr>
      <t>2</t>
    </r>
  </si>
  <si>
    <r>
      <t>(NH4)</t>
    </r>
    <r>
      <rPr>
        <vertAlign val="subscript"/>
        <sz val="12"/>
        <rFont val="Times New Roman"/>
        <family val="1"/>
      </rPr>
      <t>2</t>
    </r>
    <r>
      <rPr>
        <sz val="12"/>
        <rFont val="Times New Roman"/>
        <family val="1"/>
      </rPr>
      <t>SO</t>
    </r>
    <r>
      <rPr>
        <vertAlign val="subscript"/>
        <sz val="12"/>
        <rFont val="Times New Roman"/>
        <family val="1"/>
      </rPr>
      <t>4</t>
    </r>
  </si>
  <si>
    <t>Nguyên giá (đồng)</t>
  </si>
  <si>
    <t>Mức KH/ca</t>
  </si>
  <si>
    <t>Chi phí LĐKT</t>
  </si>
  <si>
    <t>Chi phí CCDC</t>
  </si>
  <si>
    <t>Chi phí vật liệu</t>
  </si>
  <si>
    <t>CP năng lượng</t>
  </si>
  <si>
    <t>Chi phí khấu hao</t>
  </si>
  <si>
    <t>Chi phí trực tiếp</t>
  </si>
  <si>
    <t>Chi phí chung (20%)</t>
  </si>
  <si>
    <t>A</t>
  </si>
  <si>
    <t>B</t>
  </si>
  <si>
    <t>C</t>
  </si>
  <si>
    <t>A1</t>
  </si>
  <si>
    <t>A2</t>
  </si>
  <si>
    <t>Hóa chất BVTV nhóm Clo hữu cơ</t>
  </si>
  <si>
    <t>Độ ẩm (%)</t>
  </si>
  <si>
    <t>2CT9</t>
  </si>
  <si>
    <t>pH</t>
  </si>
  <si>
    <t>Thùng chứa mẫu</t>
  </si>
  <si>
    <t>cái</t>
  </si>
  <si>
    <t>kW</t>
  </si>
  <si>
    <t> 0,30</t>
  </si>
  <si>
    <t>Công suất</t>
  </si>
  <si>
    <t> 0,060</t>
  </si>
  <si>
    <t>Thiết bị đo hiện số</t>
  </si>
  <si>
    <t>Máy khuấy từ</t>
  </si>
  <si>
    <t>2CT7a</t>
  </si>
  <si>
    <t>Máy lắc xoay tròn</t>
  </si>
  <si>
    <t>2CT5</t>
  </si>
  <si>
    <r>
      <t>Florua (F</t>
    </r>
    <r>
      <rPr>
        <vertAlign val="superscript"/>
        <sz val="12"/>
        <color theme="1"/>
        <rFont val="Times New Roman"/>
        <family val="1"/>
      </rPr>
      <t>-</t>
    </r>
    <r>
      <rPr>
        <sz val="12"/>
        <color theme="1"/>
        <rFont val="Times New Roman"/>
        <family val="1"/>
      </rPr>
      <t>)</t>
    </r>
  </si>
  <si>
    <t>PAH</t>
  </si>
  <si>
    <t>Sàng rây</t>
  </si>
  <si>
    <t>Quần áo BHLĐ</t>
  </si>
  <si>
    <t>Bộ</t>
  </si>
  <si>
    <t>Cốc nung</t>
  </si>
  <si>
    <t>Florua</t>
  </si>
  <si>
    <t>CH3COOH</t>
  </si>
  <si>
    <t>CDTA- C14H22N2O8</t>
  </si>
  <si>
    <t>NaCl</t>
  </si>
  <si>
    <t>Kim loại nặng (Hg)</t>
  </si>
  <si>
    <t>Kim loại nặng (As)</t>
  </si>
  <si>
    <t>Florua (F-)</t>
  </si>
  <si>
    <t>2CT7b</t>
  </si>
  <si>
    <t xml:space="preserve">Silicagel </t>
  </si>
  <si>
    <t>Dung dịch chuẩn pH ở giá trị pH = 4 và pH = 10</t>
  </si>
  <si>
    <t xml:space="preserve">Dung dịch chuẩn pH </t>
  </si>
  <si>
    <t>gam </t>
  </si>
  <si>
    <t> ml</t>
  </si>
  <si>
    <t>Na2CO3</t>
  </si>
  <si>
    <t>K2HPO4</t>
  </si>
  <si>
    <t>KH2PO4</t>
  </si>
  <si>
    <t>MgCl2</t>
  </si>
  <si>
    <t>Kim loại nặng Hg</t>
  </si>
  <si>
    <t>Kim loại (Ni, Cu, Zn, Mn, Cr, Ba, Se)</t>
  </si>
  <si>
    <t>CHCl3</t>
  </si>
  <si>
    <t>PHỤ LỤC 11</t>
  </si>
  <si>
    <t>C1</t>
  </si>
  <si>
    <t>1CT1</t>
  </si>
  <si>
    <t>1CT2</t>
  </si>
  <si>
    <t>1CT3</t>
  </si>
  <si>
    <t>1CT4</t>
  </si>
  <si>
    <t>1CT5</t>
  </si>
  <si>
    <t>1CT9</t>
  </si>
  <si>
    <t>1CT10</t>
  </si>
  <si>
    <t>1CT12</t>
  </si>
  <si>
    <t>chiếc</t>
  </si>
  <si>
    <t>Tất sợi</t>
  </si>
  <si>
    <t>Mũ cứng</t>
  </si>
  <si>
    <t>Ô che mưa, che nắng</t>
  </si>
  <si>
    <t>Như 1 CT3</t>
  </si>
  <si>
    <t>Thùng đựng và bảo quản mẫu</t>
  </si>
  <si>
    <t xml:space="preserve">Hộp đựng mẫu </t>
  </si>
  <si>
    <r>
      <t xml:space="preserve"> Cyanua (CN</t>
    </r>
    <r>
      <rPr>
        <b/>
        <vertAlign val="superscript"/>
        <sz val="12"/>
        <color theme="1"/>
        <rFont val="Times New Roman"/>
        <family val="1"/>
      </rPr>
      <t>-</t>
    </r>
    <r>
      <rPr>
        <b/>
        <sz val="12"/>
        <color theme="1"/>
        <rFont val="Times New Roman"/>
        <family val="1"/>
      </rPr>
      <t>)</t>
    </r>
  </si>
  <si>
    <t>Nước rửa dụng cụ</t>
  </si>
  <si>
    <t>Lít</t>
  </si>
  <si>
    <t>Gim kẹp giấy</t>
  </si>
  <si>
    <t>Gim bấm</t>
  </si>
  <si>
    <t>Bản đồ địa hình</t>
  </si>
  <si>
    <t>tờ</t>
  </si>
  <si>
    <t>Nước rửa đầu đo</t>
  </si>
  <si>
    <t xml:space="preserve">lít </t>
  </si>
  <si>
    <t>Pin chuyên dụng</t>
  </si>
  <si>
    <t>cục</t>
  </si>
  <si>
    <t>Thiết bị lấy mẫu</t>
  </si>
  <si>
    <t>Máy định vị GPS cầm tay</t>
  </si>
  <si>
    <t>Chiếc</t>
  </si>
  <si>
    <t>-</t>
  </si>
  <si>
    <t>pin khô</t>
  </si>
  <si>
    <t>Máy ảnh kỹ thuật số</t>
  </si>
  <si>
    <t>Như 1CT2</t>
  </si>
  <si>
    <t>Phương pháp sử dụng</t>
  </si>
  <si>
    <t>HOẠT ĐỘNG QUAN TRẮC VÀ PHÂN TÍCH MÔI TRƯỜNG CHẤT THẢI RẮN</t>
  </si>
  <si>
    <t>TCVN 6648:2000</t>
  </si>
  <si>
    <t xml:space="preserve">pH </t>
  </si>
  <si>
    <t>ASTM D4980:89</t>
  </si>
  <si>
    <t>EPA 9013 
+ TCVN 6181:1996</t>
  </si>
  <si>
    <t>EPA 3060A + EPA 7196A</t>
  </si>
  <si>
    <t xml:space="preserve"> EPA 1311 + SMEWW 4500.F-.D</t>
  </si>
  <si>
    <t>EPA 1311+ SMEWW 3113B:2012</t>
  </si>
  <si>
    <t xml:space="preserve">Kim loại nặng (As) </t>
  </si>
  <si>
    <t>EPA 1311 + SMEWW 3114B:2012</t>
  </si>
  <si>
    <t>EPA 1311 + TCVN 7877: 2008</t>
  </si>
  <si>
    <t xml:space="preserve">Kim loại nặng (Hg) </t>
  </si>
  <si>
    <t>EPA 1311 + SMEWW 3111B:2012</t>
  </si>
  <si>
    <t>EPA 9071B</t>
  </si>
  <si>
    <t xml:space="preserve">Dầu mỡ </t>
  </si>
  <si>
    <t xml:space="preserve">Hàm lượng Phenol </t>
  </si>
  <si>
    <t>EPA 3550C + SMEWW 5530C</t>
  </si>
  <si>
    <t>EPA 846+ EPA 8270D</t>
  </si>
  <si>
    <t xml:space="preserve">Hóa chất BVTV nhóm phot pho hữu cơ </t>
  </si>
  <si>
    <t xml:space="preserve">PCBs </t>
  </si>
  <si>
    <t>PAHs</t>
  </si>
  <si>
    <t>EPA 1311+TCVN 6665:2011</t>
  </si>
  <si>
    <t>Đơn vị tính: đồng/mẫu</t>
  </si>
  <si>
    <t>Công tác phân tích môi trường chất thải trong phòng thí nghiệm (2CT)</t>
  </si>
  <si>
    <t>2CT2</t>
  </si>
  <si>
    <t>2CT3</t>
  </si>
  <si>
    <t>2CT1</t>
  </si>
  <si>
    <t>2CT4</t>
  </si>
  <si>
    <t>2CT10</t>
  </si>
  <si>
    <t>1CT11b</t>
  </si>
  <si>
    <t>1CT11a</t>
  </si>
  <si>
    <t>1CT11c</t>
  </si>
  <si>
    <t>1CT11d</t>
  </si>
  <si>
    <t>2CT11b</t>
  </si>
  <si>
    <t>2CT11a</t>
  </si>
  <si>
    <t>2CT11c</t>
  </si>
  <si>
    <t>2CT11d</t>
  </si>
  <si>
    <t>2CT12</t>
  </si>
  <si>
    <t>Như mục 2CT4</t>
  </si>
  <si>
    <t>Như mục 2CT11a</t>
  </si>
  <si>
    <r>
      <t xml:space="preserve"> Cyanua (CN</t>
    </r>
    <r>
      <rPr>
        <b/>
        <vertAlign val="superscript"/>
        <sz val="12"/>
        <rFont val="Times New Roman"/>
        <family val="1"/>
      </rPr>
      <t>-</t>
    </r>
    <r>
      <rPr>
        <b/>
        <sz val="12"/>
        <rFont val="Times New Roman"/>
        <family val="1"/>
      </rPr>
      <t>)</t>
    </r>
  </si>
  <si>
    <r>
      <t xml:space="preserve"> </t>
    </r>
    <r>
      <rPr>
        <b/>
        <i/>
        <sz val="12"/>
        <rFont val="Times New Roman"/>
        <family val="1"/>
      </rPr>
      <t>Cyanua (CN</t>
    </r>
    <r>
      <rPr>
        <b/>
        <i/>
        <vertAlign val="superscript"/>
        <sz val="12"/>
        <rFont val="Times New Roman"/>
        <family val="1"/>
      </rPr>
      <t>-</t>
    </r>
    <r>
      <rPr>
        <b/>
        <i/>
        <sz val="12"/>
        <rFont val="Times New Roman"/>
        <family val="1"/>
      </rPr>
      <t>)</t>
    </r>
  </si>
  <si>
    <r>
      <t>Crom (VI) (Cr</t>
    </r>
    <r>
      <rPr>
        <b/>
        <i/>
        <vertAlign val="superscript"/>
        <sz val="12"/>
        <rFont val="Times New Roman"/>
        <family val="1"/>
      </rPr>
      <t>6+</t>
    </r>
    <r>
      <rPr>
        <b/>
        <i/>
        <sz val="12"/>
        <rFont val="Times New Roman"/>
        <family val="1"/>
      </rPr>
      <t>)</t>
    </r>
  </si>
  <si>
    <r>
      <t>1,5-Diphenylcacbazid (C</t>
    </r>
    <r>
      <rPr>
        <vertAlign val="subscript"/>
        <sz val="11"/>
        <rFont val="Times New Roman"/>
        <family val="1"/>
      </rPr>
      <t>13</t>
    </r>
    <r>
      <rPr>
        <sz val="11"/>
        <rFont val="Times New Roman"/>
        <family val="1"/>
      </rPr>
      <t>H</t>
    </r>
    <r>
      <rPr>
        <vertAlign val="subscript"/>
        <sz val="11"/>
        <rFont val="Times New Roman"/>
        <family val="1"/>
      </rPr>
      <t>14</t>
    </r>
    <r>
      <rPr>
        <sz val="11"/>
        <rFont val="Times New Roman"/>
        <family val="1"/>
      </rPr>
      <t>N</t>
    </r>
    <r>
      <rPr>
        <vertAlign val="subscript"/>
        <sz val="11"/>
        <rFont val="Times New Roman"/>
        <family val="1"/>
      </rPr>
      <t>4</t>
    </r>
    <r>
      <rPr>
        <sz val="11"/>
        <rFont val="Times New Roman"/>
        <family val="1"/>
      </rPr>
      <t xml:space="preserve">O) </t>
    </r>
  </si>
  <si>
    <r>
      <t>H</t>
    </r>
    <r>
      <rPr>
        <vertAlign val="subscript"/>
        <sz val="11"/>
        <rFont val="Times New Roman"/>
        <family val="1"/>
      </rPr>
      <t>3</t>
    </r>
    <r>
      <rPr>
        <sz val="11"/>
        <rFont val="Times New Roman"/>
        <family val="1"/>
      </rPr>
      <t>PO</t>
    </r>
    <r>
      <rPr>
        <vertAlign val="subscript"/>
        <sz val="11"/>
        <rFont val="Times New Roman"/>
        <family val="1"/>
      </rPr>
      <t>4</t>
    </r>
  </si>
  <si>
    <r>
      <t>K</t>
    </r>
    <r>
      <rPr>
        <vertAlign val="subscript"/>
        <sz val="11"/>
        <rFont val="Times New Roman"/>
        <family val="1"/>
      </rPr>
      <t>2</t>
    </r>
    <r>
      <rPr>
        <sz val="11"/>
        <rFont val="Times New Roman"/>
        <family val="1"/>
      </rPr>
      <t>Cr</t>
    </r>
    <r>
      <rPr>
        <vertAlign val="subscript"/>
        <sz val="11"/>
        <rFont val="Times New Roman"/>
        <family val="1"/>
      </rPr>
      <t>2</t>
    </r>
    <r>
      <rPr>
        <sz val="11"/>
        <rFont val="Times New Roman"/>
        <family val="1"/>
      </rPr>
      <t>O</t>
    </r>
    <r>
      <rPr>
        <vertAlign val="subscript"/>
        <sz val="11"/>
        <rFont val="Times New Roman"/>
        <family val="1"/>
      </rPr>
      <t>7</t>
    </r>
  </si>
  <si>
    <r>
      <t>SPADNS (C</t>
    </r>
    <r>
      <rPr>
        <vertAlign val="subscript"/>
        <sz val="13"/>
        <rFont val="Times New Roman"/>
        <family val="1"/>
      </rPr>
      <t>16</t>
    </r>
    <r>
      <rPr>
        <sz val="13"/>
        <rFont val="Times New Roman"/>
        <family val="1"/>
      </rPr>
      <t>H</t>
    </r>
    <r>
      <rPr>
        <vertAlign val="subscript"/>
        <sz val="13"/>
        <rFont val="Times New Roman"/>
        <family val="1"/>
      </rPr>
      <t>9</t>
    </r>
    <r>
      <rPr>
        <sz val="13"/>
        <rFont val="Times New Roman"/>
        <family val="1"/>
      </rPr>
      <t>O</t>
    </r>
    <r>
      <rPr>
        <vertAlign val="subscript"/>
        <sz val="13"/>
        <rFont val="Times New Roman"/>
        <family val="1"/>
      </rPr>
      <t>11</t>
    </r>
    <r>
      <rPr>
        <sz val="13"/>
        <rFont val="Times New Roman"/>
        <family val="1"/>
      </rPr>
      <t>N</t>
    </r>
    <r>
      <rPr>
        <vertAlign val="subscript"/>
        <sz val="13"/>
        <rFont val="Times New Roman"/>
        <family val="1"/>
      </rPr>
      <t>2</t>
    </r>
    <r>
      <rPr>
        <sz val="13"/>
        <rFont val="Times New Roman"/>
        <family val="1"/>
      </rPr>
      <t>S</t>
    </r>
    <r>
      <rPr>
        <vertAlign val="subscript"/>
        <sz val="13"/>
        <rFont val="Times New Roman"/>
        <family val="1"/>
      </rPr>
      <t>3</t>
    </r>
    <r>
      <rPr>
        <sz val="13"/>
        <rFont val="Times New Roman"/>
        <family val="1"/>
      </rPr>
      <t>Na</t>
    </r>
    <r>
      <rPr>
        <vertAlign val="subscript"/>
        <sz val="13"/>
        <rFont val="Times New Roman"/>
        <family val="1"/>
      </rPr>
      <t>3</t>
    </r>
    <r>
      <rPr>
        <sz val="13"/>
        <rFont val="Times New Roman"/>
        <family val="1"/>
      </rPr>
      <t>)</t>
    </r>
  </si>
  <si>
    <r>
      <t>NaAsO</t>
    </r>
    <r>
      <rPr>
        <vertAlign val="subscript"/>
        <sz val="13"/>
        <rFont val="Times New Roman"/>
        <family val="1"/>
      </rPr>
      <t>2</t>
    </r>
  </si>
  <si>
    <r>
      <t>H</t>
    </r>
    <r>
      <rPr>
        <vertAlign val="subscript"/>
        <sz val="13"/>
        <rFont val="Times New Roman"/>
        <family val="1"/>
      </rPr>
      <t>2</t>
    </r>
    <r>
      <rPr>
        <sz val="13"/>
        <rFont val="Times New Roman"/>
        <family val="1"/>
      </rPr>
      <t>SO</t>
    </r>
    <r>
      <rPr>
        <vertAlign val="subscript"/>
        <sz val="13"/>
        <rFont val="Times New Roman"/>
        <family val="1"/>
      </rPr>
      <t>4</t>
    </r>
    <r>
      <rPr>
        <sz val="13"/>
        <rFont val="Times New Roman"/>
        <family val="1"/>
      </rPr>
      <t xml:space="preserve"> đậm đặc</t>
    </r>
  </si>
  <si>
    <r>
      <t>ZrOCl</t>
    </r>
    <r>
      <rPr>
        <vertAlign val="subscript"/>
        <sz val="13"/>
        <rFont val="Times New Roman"/>
        <family val="1"/>
      </rPr>
      <t>2</t>
    </r>
    <r>
      <rPr>
        <sz val="13"/>
        <rFont val="Times New Roman"/>
        <family val="1"/>
      </rPr>
      <t>.8.H</t>
    </r>
    <r>
      <rPr>
        <vertAlign val="subscript"/>
        <sz val="13"/>
        <rFont val="Times New Roman"/>
        <family val="1"/>
      </rPr>
      <t>2</t>
    </r>
    <r>
      <rPr>
        <sz val="13"/>
        <rFont val="Times New Roman"/>
        <family val="1"/>
      </rPr>
      <t>O</t>
    </r>
  </si>
  <si>
    <t>Công tác quan trắc môi trường chất thải tại hiện trường (1CT)</t>
  </si>
  <si>
    <t>Kim loại nặng ( As)</t>
  </si>
  <si>
    <t>Như mục 2CT7a</t>
  </si>
  <si>
    <t>Giầy BHLĐ</t>
  </si>
  <si>
    <r>
      <t>Cyanua (CN</t>
    </r>
    <r>
      <rPr>
        <b/>
        <vertAlign val="superscript"/>
        <sz val="12"/>
        <color theme="1"/>
        <rFont val="Times New Roman"/>
        <family val="1"/>
      </rPr>
      <t>-</t>
    </r>
    <r>
      <rPr>
        <b/>
        <sz val="12"/>
        <color theme="1"/>
        <rFont val="Times New Roman"/>
        <family val="1"/>
      </rPr>
      <t xml:space="preserve">) </t>
    </r>
  </si>
  <si>
    <r>
      <t xml:space="preserve"> Cr</t>
    </r>
    <r>
      <rPr>
        <b/>
        <vertAlign val="superscript"/>
        <sz val="12"/>
        <color theme="1"/>
        <rFont val="Times New Roman"/>
        <family val="1"/>
      </rPr>
      <t>6+</t>
    </r>
    <r>
      <rPr>
        <b/>
        <sz val="12"/>
        <color theme="1"/>
        <rFont val="Times New Roman"/>
        <family val="1"/>
      </rPr>
      <t xml:space="preserve"> </t>
    </r>
  </si>
  <si>
    <t xml:space="preserve">Cân phân tích </t>
  </si>
  <si>
    <t>Chiết pha rắn SPE</t>
  </si>
  <si>
    <t xml:space="preserve">TỔNG HỢP ĐƠN GIÁ SẢN PHẨM QUAN TRẮC CHẤT THẢI </t>
  </si>
  <si>
    <t>Công tác quan trắc chất thải tại hiện trường (1CT)</t>
  </si>
  <si>
    <t>Công tác phân tích các thông số chất thải trong phòng thí nghiệm (2CT)</t>
  </si>
  <si>
    <t>Công tác phân tích  chất thải trong phòng thí nghiệm (2CT)</t>
  </si>
  <si>
    <t>CHI PHÍ CÔNG CỤ, DỤNG CỤ 
(Hoạt động quan trường chất thải)</t>
  </si>
  <si>
    <t>Công tác phân tích chất thải trong phòng thí nghiệm (2CT)</t>
  </si>
  <si>
    <t xml:space="preserve">CHI PHÍ NHÂN CÔNG 
(Hoạt động quan trắc chất thải) </t>
  </si>
  <si>
    <t xml:space="preserve">TỔNG HỢP CÁC PHƯƠNG PHÁP SỬ DỤNG CHO HOẠT ĐỘNG QUAN TRẮC CHẤT THẢI </t>
  </si>
  <si>
    <t>CHI PHÍ VẬT LIỆU 
(Hoạt động quan trắc chất thải)</t>
  </si>
  <si>
    <t>Tủ bảo quản mẫu</t>
  </si>
  <si>
    <t>Áo blue</t>
  </si>
  <si>
    <t>Găng tay y tế</t>
  </si>
  <si>
    <t xml:space="preserve">Giấy lọc </t>
  </si>
  <si>
    <t>Thiết bị cất nước 2 lần</t>
  </si>
  <si>
    <r>
      <t xml:space="preserve">Phân tích đồng thời các kim loại 
</t>
    </r>
    <r>
      <rPr>
        <i/>
        <sz val="12"/>
        <color theme="1"/>
        <rFont val="Times New Roman"/>
        <family val="1"/>
      </rPr>
      <t>(Giá tính cho 1 mẫu)</t>
    </r>
  </si>
  <si>
    <t>*Thuốc BVTV nhóm Clo hữu cơ: 666, Lindan, Aldrin, Dieldrin, DDE, DDD, DDT, Endosulfan, Endrin, BCH, Heptaclor,Heptaclor Epoxide, Methoxyclor….</t>
  </si>
  <si>
    <t>**Thuốc BVTV cơ photpho: Paration, Methyl paration, Etyl paration, Malation, Diazinon, TrichlorfonTrichlorfon, Dimethoate…</t>
  </si>
  <si>
    <t>***Thuốc BVTV nhóm Pyrethroid: Permethrin, Deltamethrin, Cypermethrin, Fenvalerate…</t>
  </si>
  <si>
    <t>****Tổng hàm lượng các PCBs gồm: 28; 52; 101; 118; 138; 153; 180 và 209….</t>
  </si>
  <si>
    <t>1QTVTNMT hạng IV.2</t>
  </si>
  <si>
    <t>Quan trắc viên tài nguyên môi trường hạng IV bậc 2</t>
  </si>
  <si>
    <t>1QTVTNMT hạng IV.3</t>
  </si>
  <si>
    <t>Quan trắc viên tài nguyên môi trường hạng IV bậc 3</t>
  </si>
  <si>
    <t>1QTVTNMT hạng III.1</t>
  </si>
  <si>
    <t>Quan trắc viên tài nguyên môi trường hạng III bậc 1</t>
  </si>
  <si>
    <t>1QTVTNMT hạng III.2</t>
  </si>
  <si>
    <t>Quan trắc viên tài nguyên môi trường hạng III bậc 2</t>
  </si>
  <si>
    <t>1QTVTNMT hạng III.3</t>
  </si>
  <si>
    <t>Quan trắc viên tài nguyên môi trường hạng III bậc 3</t>
  </si>
  <si>
    <t>1QTVTNMT hạng III.4</t>
  </si>
  <si>
    <t>Quan trắc viên tài nguyên môi trường hạng III bậc 4</t>
  </si>
  <si>
    <t>Quan trắc viên tài nguyên môi trường hạng III bậc 5</t>
  </si>
  <si>
    <t>- Hệ số lương theo Nghị định số 204/2004/NĐ-CP ngày 14 tháng 12 năm 2004 của Chính phủ về chế độ tiền lương đối với cán bộ công chức, viên chức và lực lượng vũ trang và chế độ phụ cấp lương trong các công ty nhà nước;
- Mức đóng các khoản bảo hiểm (BHXH, BHYT, BHTN) theo quy định tại Luật Bảo hiểm xã hội năm 2006;
- Mức lương tối thiểu theo Nghị định số 99/2015/QH13 ngày 11 tháng 11 năm 2015  của Quốc hội khóa 13 quy định mức lương tối thiểu chung là 1.300.000 đồng /tháng;
- Số ngày công trong 1 tháng là: 26 ngày</t>
  </si>
  <si>
    <t>Đơn giá 
( không VAT)</t>
  </si>
  <si>
    <t>1CT6a</t>
  </si>
  <si>
    <t>1CT6b</t>
  </si>
  <si>
    <r>
      <t>Kim loại nặng (</t>
    </r>
    <r>
      <rPr>
        <sz val="12"/>
        <color theme="1"/>
        <rFont val="Times New Roman"/>
        <family val="1"/>
      </rPr>
      <t xml:space="preserve">Cd) </t>
    </r>
  </si>
  <si>
    <r>
      <t>Kim loại nặng (Pb</t>
    </r>
    <r>
      <rPr>
        <sz val="12"/>
        <color theme="1"/>
        <rFont val="Times New Roman"/>
        <family val="1"/>
      </rPr>
      <t xml:space="preserve">) </t>
    </r>
  </si>
  <si>
    <t>1CT7a</t>
  </si>
  <si>
    <t>1CT7b</t>
  </si>
  <si>
    <t>Kim loại (Cu)</t>
  </si>
  <si>
    <t>1CT8a</t>
  </si>
  <si>
    <t>1CT8b</t>
  </si>
  <si>
    <t>1CT8c</t>
  </si>
  <si>
    <t>1CT8d</t>
  </si>
  <si>
    <t>1CT8e</t>
  </si>
  <si>
    <t>1CT8f</t>
  </si>
  <si>
    <t>Kim loại (Zn)</t>
  </si>
  <si>
    <t>Kim loại (Mn)</t>
  </si>
  <si>
    <t>Kim loại (Cr)</t>
  </si>
  <si>
    <t>Kim loại (Ba)</t>
  </si>
  <si>
    <t>Kim loại (Ni)</t>
  </si>
  <si>
    <t>Kim loại (Se)</t>
  </si>
  <si>
    <t>Kim loại (Mo)</t>
  </si>
  <si>
    <t>Kim loại (Be)</t>
  </si>
  <si>
    <t>Kim loại (Ta)</t>
  </si>
  <si>
    <t>Kim loại (Va)</t>
  </si>
  <si>
    <t>1CT8đ</t>
  </si>
  <si>
    <t>1CT8g</t>
  </si>
  <si>
    <t>1CT8h</t>
  </si>
  <si>
    <t>1CT8i</t>
  </si>
  <si>
    <t>1CT8k</t>
  </si>
  <si>
    <t xml:space="preserve">Lấy mẫu đồng thời các kim loại </t>
  </si>
  <si>
    <t>2CT6a</t>
  </si>
  <si>
    <t>2CT6b</t>
  </si>
  <si>
    <t>2CT8a</t>
  </si>
  <si>
    <t>2CT8b</t>
  </si>
  <si>
    <t>2CT8c</t>
  </si>
  <si>
    <t>2CT8d</t>
  </si>
  <si>
    <t>2CT8đ</t>
  </si>
  <si>
    <t>2CT8e</t>
  </si>
  <si>
    <t>2CT8f</t>
  </si>
  <si>
    <t>2CT8g</t>
  </si>
  <si>
    <t>2CT8h</t>
  </si>
  <si>
    <t>2CT8i</t>
  </si>
  <si>
    <t>2CT8k</t>
  </si>
  <si>
    <r>
      <t>Kim loại nặng (Pb</t>
    </r>
    <r>
      <rPr>
        <b/>
        <sz val="12"/>
        <color theme="1"/>
        <rFont val="Times New Roman"/>
        <family val="1"/>
      </rPr>
      <t xml:space="preserve">) </t>
    </r>
  </si>
  <si>
    <t xml:space="preserve">Kim loại nặng (Cd) </t>
  </si>
  <si>
    <t>Như mục 2CT6a</t>
  </si>
  <si>
    <t>Như mục 2CT8a</t>
  </si>
  <si>
    <r>
      <t xml:space="preserve"> Kim loại nặng (Pb</t>
    </r>
    <r>
      <rPr>
        <b/>
        <i/>
        <sz val="12"/>
        <rFont val="Times New Roman"/>
        <family val="1"/>
      </rPr>
      <t xml:space="preserve">) </t>
    </r>
  </si>
  <si>
    <r>
      <t>Kim loại nặng (</t>
    </r>
    <r>
      <rPr>
        <b/>
        <sz val="12"/>
        <color theme="1"/>
        <rFont val="Times New Roman"/>
        <family val="1"/>
      </rPr>
      <t xml:space="preserve">Cd) </t>
    </r>
  </si>
  <si>
    <t>2CT8m</t>
  </si>
  <si>
    <t>Kim loại (Ag)</t>
  </si>
  <si>
    <t>1CT8m</t>
  </si>
  <si>
    <t>Kim loại nặng (Pb)</t>
  </si>
  <si>
    <t>Kim loại nặng (Cd)</t>
  </si>
  <si>
    <r>
      <t>Florua (F</t>
    </r>
    <r>
      <rPr>
        <b/>
        <i/>
        <vertAlign val="superscript"/>
        <sz val="12"/>
        <rFont val="Times New Roman"/>
        <family val="1"/>
      </rPr>
      <t>-</t>
    </r>
    <r>
      <rPr>
        <b/>
        <i/>
        <sz val="12"/>
        <rFont val="Times New Roman"/>
        <family val="1"/>
      </rPr>
      <t>)</t>
    </r>
  </si>
  <si>
    <r>
      <t>Kim loại nặng (Pb</t>
    </r>
    <r>
      <rPr>
        <b/>
        <i/>
        <sz val="12"/>
        <color theme="1"/>
        <rFont val="Times New Roman"/>
        <family val="1"/>
      </rPr>
      <t xml:space="preserve">) </t>
    </r>
  </si>
  <si>
    <r>
      <t>Kim loại nặng (</t>
    </r>
    <r>
      <rPr>
        <b/>
        <i/>
        <sz val="12"/>
        <color theme="1"/>
        <rFont val="Times New Roman"/>
        <family val="1"/>
      </rPr>
      <t xml:space="preserve">Cd) </t>
    </r>
  </si>
  <si>
    <t>Điện cực pH</t>
  </si>
  <si>
    <t>Đơn gia thực tế</t>
  </si>
  <si>
    <t>Chêch lệch</t>
  </si>
  <si>
    <t>6=1+2+3+4</t>
  </si>
  <si>
    <t>7=6*20%</t>
  </si>
  <si>
    <t>8=6+7</t>
  </si>
  <si>
    <t>A2.1</t>
  </si>
  <si>
    <t>Công tác phân tích môi trường chất thải trong phòng thí nghiệm (2CT) ở dạng tuyệt đối</t>
  </si>
  <si>
    <t>A2.2</t>
  </si>
  <si>
    <t>Công tác phân tích môi trường chất thải trong phòng thí nghiệm (2CT) ở dạng ngâm chiết</t>
  </si>
  <si>
    <t xml:space="preserve"> SMEWW 4500.F-.D</t>
  </si>
  <si>
    <t>TCVN 8963:2011 + SMEWW 3113:2012</t>
  </si>
  <si>
    <t>TCVN 8963:2011 + SMEWW 3114:2012</t>
  </si>
  <si>
    <t>TCVN 8963:2011 + SMEWW 3111:2012</t>
  </si>
  <si>
    <t>TCVN 8963:2011 + EPA 200.8</t>
  </si>
  <si>
    <t>EPA1311 + EPA 7196A</t>
  </si>
  <si>
    <t>EPA 1311 + SMEWW 5530C</t>
  </si>
  <si>
    <t>EPA1311+ EPA 8270D</t>
  </si>
  <si>
    <t>TCVN 8963:2011+ TCVN 6665:2011</t>
  </si>
  <si>
    <t>1QTVTNMT hạng IV.2a</t>
  </si>
  <si>
    <t>1QTVTNMT hạng III.1a</t>
  </si>
  <si>
    <t>1QTVTNMT hạng III.2a</t>
  </si>
  <si>
    <t>1QTVTNMT hạng III.3a</t>
  </si>
  <si>
    <t>1QTVTNMT hạng III.4a</t>
  </si>
  <si>
    <t>1QTVTNMT hạng III.5a</t>
  </si>
  <si>
    <t>(9) = 23.5%*(4)</t>
  </si>
  <si>
    <t>(10)=9+4+5+6+7+8</t>
  </si>
  <si>
    <t>(11)=(10)/26</t>
  </si>
  <si>
    <t>HCl đậm đặc</t>
  </si>
  <si>
    <t>Bếp điện có điều chỉnh nhiệt độ</t>
  </si>
</sst>
</file>

<file path=xl/styles.xml><?xml version="1.0" encoding="utf-8"?>
<styleSheet xmlns="http://schemas.openxmlformats.org/spreadsheetml/2006/main">
  <numFmts count="8">
    <numFmt numFmtId="43" formatCode="_(* #,##0.00_);_(* \(#,##0.00\);_(* &quot;-&quot;??_);_(@_)"/>
    <numFmt numFmtId="164" formatCode="0.000"/>
    <numFmt numFmtId="165" formatCode="_(* #,##0.00_);_(* \(#,##0.00\);_(* &quot;-&quot;&quot;?&quot;&quot;?&quot;_);_(@_)"/>
    <numFmt numFmtId="166" formatCode="_(* #,##0_);_(* \(#,##0\);_(* &quot;-&quot;&quot;?&quot;&quot;?&quot;_);_(@_)"/>
    <numFmt numFmtId="167" formatCode="_(* #,##0_);_(* \(#,##0\);_(* &quot;-&quot;??_);_(@_)"/>
    <numFmt numFmtId="168" formatCode="_(* #,##0.00_);_(* \(#,##0.00\);_(* \-&quot;?&quot;&quot;?&quot;_);_(@_)"/>
    <numFmt numFmtId="169" formatCode="#,##0.0"/>
    <numFmt numFmtId="170" formatCode="_(* #,##0.000_);_(* \(#,##0.000\);_(* &quot;-&quot;&quot;?&quot;&quot;?&quot;_);_(@_)"/>
  </numFmts>
  <fonts count="46">
    <font>
      <sz val="11"/>
      <color theme="1"/>
      <name val="Calibri"/>
      <family val="2"/>
      <scheme val="minor"/>
    </font>
    <font>
      <sz val="12"/>
      <color theme="1"/>
      <name val="Times New Roman"/>
      <family val="1"/>
    </font>
    <font>
      <b/>
      <sz val="12"/>
      <color theme="1"/>
      <name val="Times New Roman"/>
      <family val="1"/>
    </font>
    <font>
      <b/>
      <vertAlign val="superscript"/>
      <sz val="12"/>
      <color theme="1"/>
      <name val="Times New Roman"/>
      <family val="1"/>
    </font>
    <font>
      <sz val="12"/>
      <name val="Times New Roman"/>
      <family val="1"/>
    </font>
    <font>
      <sz val="13"/>
      <name val="Times New Roman"/>
      <family val="1"/>
    </font>
    <font>
      <b/>
      <i/>
      <sz val="12"/>
      <name val="Times New Roman"/>
      <family val="1"/>
    </font>
    <font>
      <i/>
      <sz val="12"/>
      <name val="Times New Roman"/>
      <family val="1"/>
    </font>
    <font>
      <b/>
      <sz val="12"/>
      <name val="Times New Roman"/>
      <family val="1"/>
    </font>
    <font>
      <sz val="11"/>
      <name val="Times New Roman"/>
      <family val="1"/>
    </font>
    <font>
      <sz val="10"/>
      <name val="Arial"/>
      <family val="2"/>
    </font>
    <font>
      <sz val="11"/>
      <color theme="1"/>
      <name val="Calibri"/>
      <family val="2"/>
      <scheme val="minor"/>
    </font>
    <font>
      <b/>
      <i/>
      <vertAlign val="superscript"/>
      <sz val="12"/>
      <name val="Times New Roman"/>
      <family val="1"/>
    </font>
    <font>
      <b/>
      <vertAlign val="superscript"/>
      <sz val="12"/>
      <name val="Times New Roman"/>
      <family val="1"/>
    </font>
    <font>
      <b/>
      <sz val="13"/>
      <name val="Times New Roman"/>
      <family val="1"/>
    </font>
    <font>
      <sz val="12"/>
      <color theme="1"/>
      <name val="Calibri"/>
      <family val="2"/>
      <scheme val="minor"/>
    </font>
    <font>
      <vertAlign val="superscript"/>
      <sz val="12"/>
      <color theme="1"/>
      <name val="Times New Roman"/>
      <family val="1"/>
    </font>
    <font>
      <i/>
      <sz val="12"/>
      <color rgb="FF000000"/>
      <name val="Times New Roman"/>
      <family val="1"/>
    </font>
    <font>
      <b/>
      <sz val="12"/>
      <name val="Times New Roman"/>
      <family val="1"/>
      <charset val="163"/>
    </font>
    <font>
      <b/>
      <sz val="12"/>
      <color theme="1"/>
      <name val="Calibri"/>
      <family val="2"/>
      <scheme val="minor"/>
    </font>
    <font>
      <sz val="12"/>
      <name val="Times New Roman"/>
      <family val="1"/>
      <charset val="163"/>
    </font>
    <font>
      <b/>
      <u/>
      <sz val="12"/>
      <name val="Arial"/>
      <family val="2"/>
    </font>
    <font>
      <vertAlign val="subscript"/>
      <sz val="12"/>
      <name val="Times New Roman"/>
      <family val="1"/>
    </font>
    <font>
      <sz val="12"/>
      <color indexed="62"/>
      <name val="Times New Roman"/>
      <family val="1"/>
    </font>
    <font>
      <i/>
      <sz val="12"/>
      <color indexed="10"/>
      <name val="Times New Roman"/>
      <family val="1"/>
    </font>
    <font>
      <sz val="12"/>
      <color indexed="10"/>
      <name val="Times New Roman"/>
      <family val="1"/>
    </font>
    <font>
      <sz val="14"/>
      <color theme="1"/>
      <name val="Times New Roman"/>
      <family val="1"/>
    </font>
    <font>
      <sz val="13"/>
      <color theme="1"/>
      <name val="Times New Roman"/>
      <family val="1"/>
    </font>
    <font>
      <b/>
      <i/>
      <sz val="13"/>
      <color theme="1"/>
      <name val="Times New Roman"/>
      <family val="1"/>
    </font>
    <font>
      <b/>
      <i/>
      <sz val="12"/>
      <color theme="1"/>
      <name val="Times New Roman"/>
      <family val="1"/>
    </font>
    <font>
      <sz val="11"/>
      <color theme="1"/>
      <name val="Times New Roman"/>
      <family val="1"/>
    </font>
    <font>
      <b/>
      <i/>
      <sz val="11"/>
      <color theme="1"/>
      <name val="Times New Roman"/>
      <family val="1"/>
    </font>
    <font>
      <b/>
      <sz val="11"/>
      <color theme="1"/>
      <name val="Times New Roman"/>
      <family val="1"/>
    </font>
    <font>
      <i/>
      <sz val="12"/>
      <color theme="1"/>
      <name val="Times New Roman"/>
      <family val="1"/>
    </font>
    <font>
      <sz val="12"/>
      <color rgb="FFFF0000"/>
      <name val="Times New Roman"/>
      <family val="1"/>
    </font>
    <font>
      <sz val="12"/>
      <color theme="1"/>
      <name val="Times New Roman"/>
      <family val="1"/>
      <charset val="163"/>
    </font>
    <font>
      <i/>
      <sz val="11"/>
      <name val="Times New Roman"/>
      <family val="1"/>
    </font>
    <font>
      <b/>
      <i/>
      <sz val="14"/>
      <name val="Times New Roman"/>
      <family val="1"/>
    </font>
    <font>
      <vertAlign val="subscript"/>
      <sz val="11"/>
      <name val="Times New Roman"/>
      <family val="1"/>
    </font>
    <font>
      <vertAlign val="subscript"/>
      <sz val="13"/>
      <name val="Times New Roman"/>
      <family val="1"/>
    </font>
    <font>
      <sz val="12"/>
      <color rgb="FF000000"/>
      <name val="Times New Roman"/>
      <family val="1"/>
    </font>
    <font>
      <sz val="10"/>
      <name val="SimSun"/>
      <family val="2"/>
    </font>
    <font>
      <sz val="10"/>
      <color theme="1"/>
      <name val="Times New Roman"/>
      <family val="1"/>
    </font>
    <font>
      <sz val="11"/>
      <name val="Times New Roman"/>
      <family val="1"/>
      <charset val="163"/>
    </font>
    <font>
      <b/>
      <i/>
      <sz val="12"/>
      <name val="Times New Roman"/>
      <family val="1"/>
      <charset val="163"/>
    </font>
    <font>
      <b/>
      <sz val="11"/>
      <color rgb="FFFF0000"/>
      <name val="Calibri"/>
      <family val="2"/>
      <scheme val="minor"/>
    </font>
  </fonts>
  <fills count="6">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6">
    <xf numFmtId="0" fontId="0" fillId="0" borderId="0"/>
    <xf numFmtId="0" fontId="10" fillId="0" borderId="0"/>
    <xf numFmtId="43" fontId="11" fillId="0" borderId="0" applyFont="0" applyFill="0" applyBorder="0" applyAlignment="0" applyProtection="0"/>
    <xf numFmtId="165" fontId="10" fillId="0" borderId="0" applyFont="0" applyFill="0" applyBorder="0" applyAlignment="0" applyProtection="0"/>
    <xf numFmtId="168" fontId="41" fillId="0" borderId="0" applyFill="0" applyBorder="0" applyAlignment="0" applyProtection="0"/>
    <xf numFmtId="165" fontId="10" fillId="0" borderId="0" applyFont="0" applyFill="0" applyBorder="0" applyAlignment="0" applyProtection="0"/>
  </cellStyleXfs>
  <cellXfs count="391">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xf numFmtId="0" fontId="8" fillId="0" borderId="1" xfId="0" applyFont="1" applyFill="1" applyBorder="1" applyAlignment="1">
      <alignment horizontal="center" vertical="top" wrapText="1"/>
    </xf>
    <xf numFmtId="164" fontId="8" fillId="0" borderId="1" xfId="0" applyNumberFormat="1" applyFont="1" applyFill="1" applyBorder="1" applyAlignment="1">
      <alignment horizontal="center" vertical="top" wrapText="1"/>
    </xf>
    <xf numFmtId="0" fontId="17" fillId="0" borderId="1" xfId="0" applyFont="1" applyBorder="1" applyAlignment="1">
      <alignment vertical="center" wrapText="1"/>
    </xf>
    <xf numFmtId="0" fontId="1" fillId="0" borderId="1" xfId="0" applyFont="1" applyBorder="1" applyAlignment="1">
      <alignment horizontal="left"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0" xfId="1" applyFont="1" applyBorder="1" applyAlignment="1">
      <alignment vertical="center"/>
    </xf>
    <xf numFmtId="0" fontId="4" fillId="0" borderId="0" xfId="1" applyFont="1" applyBorder="1" applyAlignment="1">
      <alignment vertical="center"/>
    </xf>
    <xf numFmtId="0" fontId="4" fillId="0" borderId="0" xfId="1" applyFont="1" applyBorder="1" applyAlignment="1">
      <alignment horizontal="center" vertical="center"/>
    </xf>
    <xf numFmtId="3" fontId="4" fillId="0" borderId="0" xfId="1" applyNumberFormat="1" applyFont="1" applyBorder="1" applyAlignment="1">
      <alignment vertical="center"/>
    </xf>
    <xf numFmtId="3" fontId="8" fillId="2" borderId="1" xfId="1" applyNumberFormat="1" applyFont="1" applyFill="1" applyBorder="1" applyAlignment="1">
      <alignment horizontal="center" vertical="center"/>
    </xf>
    <xf numFmtId="0" fontId="8" fillId="0" borderId="0" xfId="1" applyFont="1" applyBorder="1" applyAlignment="1">
      <alignment horizontal="center" vertical="center"/>
    </xf>
    <xf numFmtId="0" fontId="8" fillId="3" borderId="1" xfId="1" quotePrefix="1" applyFont="1" applyFill="1" applyBorder="1" applyAlignment="1">
      <alignment horizontal="center" vertical="top" wrapText="1"/>
    </xf>
    <xf numFmtId="0" fontId="8" fillId="3" borderId="1" xfId="1" applyFont="1" applyFill="1" applyBorder="1" applyAlignment="1">
      <alignment horizontal="center" vertical="center"/>
    </xf>
    <xf numFmtId="0" fontId="8" fillId="3" borderId="1" xfId="1" applyFont="1" applyFill="1" applyBorder="1" applyAlignment="1">
      <alignment vertical="center"/>
    </xf>
    <xf numFmtId="0" fontId="4" fillId="3" borderId="1" xfId="1" applyFont="1" applyFill="1" applyBorder="1" applyAlignment="1">
      <alignment horizontal="center" vertical="center"/>
    </xf>
    <xf numFmtId="3" fontId="4" fillId="3" borderId="1" xfId="1" applyNumberFormat="1" applyFont="1" applyFill="1" applyBorder="1" applyAlignment="1">
      <alignment vertical="center"/>
    </xf>
    <xf numFmtId="165" fontId="4" fillId="3" borderId="1" xfId="3" applyFont="1" applyFill="1" applyBorder="1" applyAlignment="1">
      <alignment vertical="center"/>
    </xf>
    <xf numFmtId="0" fontId="4" fillId="3" borderId="0" xfId="1" applyFont="1" applyFill="1" applyBorder="1" applyAlignment="1">
      <alignment vertical="center"/>
    </xf>
    <xf numFmtId="2" fontId="4" fillId="0" borderId="1" xfId="1" applyNumberFormat="1" applyFont="1" applyFill="1" applyBorder="1" applyAlignment="1">
      <alignment horizontal="center" vertical="center"/>
    </xf>
    <xf numFmtId="166" fontId="4" fillId="0" borderId="1" xfId="3" applyNumberFormat="1" applyFont="1" applyBorder="1" applyAlignment="1">
      <alignment vertical="center"/>
    </xf>
    <xf numFmtId="166" fontId="8" fillId="0" borderId="1" xfId="3" applyNumberFormat="1" applyFont="1" applyBorder="1" applyAlignment="1">
      <alignment vertical="center"/>
    </xf>
    <xf numFmtId="0" fontId="4" fillId="0" borderId="1" xfId="1" applyFont="1" applyBorder="1" applyAlignment="1">
      <alignment horizontal="center" vertical="center"/>
    </xf>
    <xf numFmtId="3" fontId="4" fillId="0" borderId="1" xfId="1" applyNumberFormat="1" applyFont="1" applyBorder="1" applyAlignment="1">
      <alignment vertical="center"/>
    </xf>
    <xf numFmtId="4" fontId="4" fillId="0" borderId="0" xfId="1" applyNumberFormat="1" applyFont="1" applyBorder="1" applyAlignment="1">
      <alignment vertical="center"/>
    </xf>
    <xf numFmtId="0" fontId="8" fillId="0" borderId="1" xfId="0" applyFont="1" applyBorder="1" applyAlignment="1">
      <alignment horizontal="center" vertical="top" wrapText="1"/>
    </xf>
    <xf numFmtId="167" fontId="8" fillId="0" borderId="1" xfId="2" applyNumberFormat="1" applyFont="1" applyBorder="1" applyAlignment="1">
      <alignment horizontal="center" vertical="top" wrapText="1"/>
    </xf>
    <xf numFmtId="0" fontId="19" fillId="0" borderId="0" xfId="0" applyFont="1"/>
    <xf numFmtId="0" fontId="18" fillId="0" borderId="1" xfId="0" applyFont="1" applyBorder="1" applyAlignment="1">
      <alignment horizontal="center" vertical="top" wrapText="1"/>
    </xf>
    <xf numFmtId="164" fontId="8" fillId="0" borderId="1" xfId="0" applyNumberFormat="1" applyFont="1" applyBorder="1" applyAlignment="1">
      <alignment horizontal="center" vertical="top" wrapText="1"/>
    </xf>
    <xf numFmtId="3" fontId="4" fillId="0" borderId="1" xfId="0" applyNumberFormat="1" applyFont="1" applyFill="1" applyBorder="1" applyAlignment="1">
      <alignment horizontal="right" vertical="top" wrapText="1"/>
    </xf>
    <xf numFmtId="3" fontId="4" fillId="0" borderId="1" xfId="0" applyNumberFormat="1" applyFont="1" applyFill="1" applyBorder="1" applyAlignment="1">
      <alignment vertical="center" wrapText="1"/>
    </xf>
    <xf numFmtId="0" fontId="4" fillId="0" borderId="1" xfId="0" applyFont="1" applyFill="1" applyBorder="1" applyAlignment="1">
      <alignment horizontal="justify" vertical="top" wrapText="1"/>
    </xf>
    <xf numFmtId="0" fontId="4" fillId="0" borderId="1" xfId="0" applyFont="1" applyFill="1" applyBorder="1" applyAlignment="1">
      <alignment horizontal="center" vertical="top" wrapText="1"/>
    </xf>
    <xf numFmtId="164" fontId="4" fillId="0" borderId="1" xfId="0" applyNumberFormat="1" applyFont="1" applyFill="1" applyBorder="1" applyAlignment="1">
      <alignment horizontal="center" vertical="top" wrapText="1"/>
    </xf>
    <xf numFmtId="0" fontId="8" fillId="0" borderId="1" xfId="0" applyFont="1" applyFill="1" applyBorder="1" applyAlignment="1">
      <alignment horizontal="justify" vertical="top" wrapText="1"/>
    </xf>
    <xf numFmtId="0" fontId="6" fillId="0" borderId="1" xfId="0" applyFont="1" applyFill="1" applyBorder="1" applyAlignment="1">
      <alignment vertical="top" wrapText="1"/>
    </xf>
    <xf numFmtId="166" fontId="8" fillId="0" borderId="1" xfId="3" applyNumberFormat="1" applyFont="1" applyFill="1" applyBorder="1" applyAlignment="1">
      <alignment horizontal="center" vertical="top" wrapText="1"/>
    </xf>
    <xf numFmtId="166" fontId="4" fillId="0" borderId="1" xfId="3" applyNumberFormat="1" applyFont="1" applyFill="1" applyBorder="1" applyAlignment="1">
      <alignment vertical="top" wrapText="1"/>
    </xf>
    <xf numFmtId="165" fontId="6" fillId="0" borderId="0" xfId="3" applyFont="1" applyFill="1" applyBorder="1" applyAlignment="1"/>
    <xf numFmtId="165" fontId="8" fillId="0" borderId="0" xfId="3" applyFont="1" applyFill="1" applyAlignment="1">
      <alignment horizontal="left" wrapText="1"/>
    </xf>
    <xf numFmtId="3" fontId="4" fillId="0" borderId="0" xfId="3" applyNumberFormat="1" applyFont="1" applyFill="1"/>
    <xf numFmtId="165" fontId="4" fillId="0" borderId="0" xfId="3" applyFont="1" applyFill="1"/>
    <xf numFmtId="165" fontId="4" fillId="0" borderId="0" xfId="3" applyFont="1" applyFill="1" applyBorder="1"/>
    <xf numFmtId="166" fontId="8" fillId="0" borderId="0" xfId="3" applyNumberFormat="1" applyFont="1" applyFill="1"/>
    <xf numFmtId="166" fontId="4" fillId="0" borderId="0" xfId="3" applyNumberFormat="1" applyFont="1" applyFill="1"/>
    <xf numFmtId="165" fontId="4" fillId="0" borderId="0" xfId="3" applyFont="1" applyFill="1" applyBorder="1" applyAlignment="1">
      <alignment horizontal="center"/>
    </xf>
    <xf numFmtId="165" fontId="8" fillId="0" borderId="0" xfId="3" applyFont="1" applyFill="1" applyBorder="1" applyAlignment="1">
      <alignment horizontal="left" wrapText="1"/>
    </xf>
    <xf numFmtId="3" fontId="4" fillId="0" borderId="0" xfId="3" applyNumberFormat="1" applyFont="1" applyFill="1" applyBorder="1"/>
    <xf numFmtId="165" fontId="8" fillId="0" borderId="1" xfId="3" applyFont="1" applyFill="1" applyBorder="1" applyAlignment="1">
      <alignment horizontal="center" vertical="center" wrapText="1"/>
    </xf>
    <xf numFmtId="165" fontId="8" fillId="0" borderId="1" xfId="3" applyFont="1" applyFill="1" applyBorder="1" applyAlignment="1">
      <alignment horizontal="left" vertical="center" wrapText="1"/>
    </xf>
    <xf numFmtId="0" fontId="8" fillId="0" borderId="1" xfId="1" applyFont="1" applyFill="1" applyBorder="1" applyAlignment="1">
      <alignment horizontal="left" vertical="center" wrapText="1"/>
    </xf>
    <xf numFmtId="3" fontId="8" fillId="0" borderId="1" xfId="3" applyNumberFormat="1" applyFont="1" applyFill="1" applyBorder="1" applyAlignment="1">
      <alignment horizontal="center" vertical="center" wrapText="1"/>
    </xf>
    <xf numFmtId="166" fontId="8" fillId="0" borderId="1" xfId="3" applyNumberFormat="1" applyFont="1" applyFill="1" applyBorder="1" applyAlignment="1">
      <alignment horizontal="center" vertical="center" wrapText="1"/>
    </xf>
    <xf numFmtId="165" fontId="8" fillId="0" borderId="0" xfId="3" applyFont="1" applyFill="1" applyBorder="1" applyAlignment="1">
      <alignment horizontal="center" vertical="center" wrapText="1"/>
    </xf>
    <xf numFmtId="165" fontId="9" fillId="0" borderId="1" xfId="3" applyFont="1" applyFill="1" applyBorder="1" applyAlignment="1">
      <alignment horizontal="center" vertical="center" wrapText="1"/>
    </xf>
    <xf numFmtId="165" fontId="4" fillId="0" borderId="1" xfId="3" applyFont="1" applyFill="1" applyBorder="1" applyAlignment="1">
      <alignment horizontal="left" vertical="center" wrapText="1"/>
    </xf>
    <xf numFmtId="0" fontId="9" fillId="0" borderId="1" xfId="1" applyFont="1" applyFill="1" applyBorder="1" applyAlignment="1">
      <alignment horizontal="left" vertical="center" wrapText="1"/>
    </xf>
    <xf numFmtId="3" fontId="9" fillId="0" borderId="1" xfId="3" applyNumberFormat="1" applyFont="1" applyFill="1" applyBorder="1" applyAlignment="1">
      <alignment horizontal="center" vertical="center" wrapText="1"/>
    </xf>
    <xf numFmtId="166" fontId="9" fillId="0" borderId="1" xfId="3" applyNumberFormat="1" applyFont="1" applyFill="1" applyBorder="1" applyAlignment="1">
      <alignment horizontal="center" vertical="center" wrapText="1"/>
    </xf>
    <xf numFmtId="165" fontId="4" fillId="0" borderId="0" xfId="3" applyFont="1" applyFill="1" applyBorder="1" applyAlignment="1">
      <alignment horizontal="center" vertical="center" wrapText="1"/>
    </xf>
    <xf numFmtId="0" fontId="8" fillId="0" borderId="1" xfId="1" applyFont="1" applyFill="1" applyBorder="1" applyAlignment="1">
      <alignment horizontal="center" vertical="top" wrapText="1"/>
    </xf>
    <xf numFmtId="0" fontId="8" fillId="0" borderId="1" xfId="1" applyFont="1" applyFill="1" applyBorder="1" applyAlignment="1">
      <alignment horizontal="left" vertical="top" wrapText="1"/>
    </xf>
    <xf numFmtId="3" fontId="8" fillId="0" borderId="1" xfId="1" applyNumberFormat="1" applyFont="1" applyFill="1" applyBorder="1" applyAlignment="1">
      <alignment vertical="top"/>
    </xf>
    <xf numFmtId="0" fontId="8" fillId="0" borderId="1" xfId="1" applyFont="1" applyFill="1" applyBorder="1" applyAlignment="1">
      <alignment vertical="top"/>
    </xf>
    <xf numFmtId="166" fontId="4" fillId="0" borderId="1" xfId="3" applyNumberFormat="1" applyFont="1" applyFill="1" applyBorder="1" applyAlignment="1">
      <alignment vertical="top"/>
    </xf>
    <xf numFmtId="0" fontId="4" fillId="0" borderId="1" xfId="1" applyFont="1" applyFill="1" applyBorder="1" applyAlignment="1">
      <alignment horizontal="center" vertical="top" wrapText="1"/>
    </xf>
    <xf numFmtId="3" fontId="4" fillId="0" borderId="1" xfId="1" applyNumberFormat="1" applyFont="1" applyFill="1" applyBorder="1" applyAlignment="1">
      <alignment vertical="top" wrapText="1"/>
    </xf>
    <xf numFmtId="3" fontId="4" fillId="0" borderId="1" xfId="3" applyNumberFormat="1" applyFont="1" applyFill="1" applyBorder="1" applyAlignment="1">
      <alignment horizontal="right" vertical="top"/>
    </xf>
    <xf numFmtId="165" fontId="25" fillId="0" borderId="0" xfId="3" applyFont="1" applyFill="1"/>
    <xf numFmtId="0" fontId="26" fillId="0" borderId="1" xfId="0" applyFont="1" applyBorder="1" applyAlignment="1">
      <alignment vertical="center" wrapText="1"/>
    </xf>
    <xf numFmtId="0" fontId="1" fillId="0" borderId="1" xfId="0" applyFont="1" applyBorder="1" applyAlignment="1">
      <alignment horizontal="left" vertical="center" wrapText="1"/>
    </xf>
    <xf numFmtId="0" fontId="28"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26" fillId="0" borderId="1" xfId="0" applyFont="1" applyBorder="1" applyAlignment="1">
      <alignment horizontal="center" vertical="center" wrapText="1"/>
    </xf>
    <xf numFmtId="0" fontId="4" fillId="5" borderId="1" xfId="0" applyFont="1" applyFill="1" applyBorder="1" applyAlignment="1">
      <alignment horizontal="justify" vertical="top" wrapText="1"/>
    </xf>
    <xf numFmtId="0" fontId="30" fillId="0" borderId="0" xfId="0" applyFont="1"/>
    <xf numFmtId="3" fontId="31" fillId="0" borderId="1" xfId="0" applyNumberFormat="1" applyFont="1" applyBorder="1"/>
    <xf numFmtId="0" fontId="30" fillId="0" borderId="1" xfId="0" applyFont="1" applyBorder="1" applyAlignment="1">
      <alignment horizontal="center" vertical="center"/>
    </xf>
    <xf numFmtId="0" fontId="32" fillId="0" borderId="1" xfId="0" applyFont="1" applyBorder="1" applyAlignment="1">
      <alignment horizontal="center" vertical="center"/>
    </xf>
    <xf numFmtId="0" fontId="30" fillId="0" borderId="0" xfId="0" applyFont="1" applyAlignment="1">
      <alignment horizontal="center" vertical="center"/>
    </xf>
    <xf numFmtId="3" fontId="6" fillId="0" borderId="1" xfId="0" applyNumberFormat="1" applyFont="1" applyFill="1" applyBorder="1" applyAlignment="1">
      <alignment horizontal="right" vertical="top" wrapText="1"/>
    </xf>
    <xf numFmtId="0" fontId="8" fillId="0" borderId="1" xfId="0" applyFont="1" applyFill="1" applyBorder="1" applyAlignment="1">
      <alignment vertical="top" wrapText="1"/>
    </xf>
    <xf numFmtId="0" fontId="6" fillId="0" borderId="1" xfId="0" applyFont="1" applyFill="1" applyBorder="1" applyAlignment="1">
      <alignment horizontal="left" vertical="top" wrapText="1"/>
    </xf>
    <xf numFmtId="2" fontId="7" fillId="0" borderId="1" xfId="0" applyNumberFormat="1" applyFont="1" applyFill="1" applyBorder="1" applyAlignment="1">
      <alignment horizontal="center" vertical="top" wrapText="1"/>
    </xf>
    <xf numFmtId="0" fontId="30" fillId="0" borderId="1" xfId="0" applyFont="1" applyBorder="1"/>
    <xf numFmtId="2" fontId="5" fillId="0" borderId="1" xfId="0" applyNumberFormat="1" applyFont="1" applyBorder="1" applyAlignment="1">
      <alignment horizontal="center" vertical="top" wrapText="1"/>
    </xf>
    <xf numFmtId="0" fontId="8" fillId="0" borderId="1" xfId="0" applyFont="1" applyFill="1" applyBorder="1" applyAlignment="1">
      <alignment horizontal="left" vertical="top" wrapText="1"/>
    </xf>
    <xf numFmtId="2" fontId="14" fillId="0" borderId="1" xfId="0" applyNumberFormat="1" applyFont="1" applyBorder="1" applyAlignment="1">
      <alignment horizontal="center" vertical="top" wrapText="1"/>
    </xf>
    <xf numFmtId="2" fontId="4" fillId="0" borderId="1" xfId="0" applyNumberFormat="1" applyFont="1" applyFill="1" applyBorder="1" applyAlignment="1">
      <alignment horizontal="center" vertical="top" wrapText="1"/>
    </xf>
    <xf numFmtId="2" fontId="6" fillId="0" borderId="1" xfId="0" applyNumberFormat="1" applyFont="1" applyFill="1" applyBorder="1" applyAlignment="1">
      <alignment horizontal="center" vertical="top" wrapText="1"/>
    </xf>
    <xf numFmtId="0" fontId="29" fillId="0" borderId="1" xfId="0" applyFont="1" applyBorder="1" applyAlignment="1">
      <alignment horizontal="center" vertical="center"/>
    </xf>
    <xf numFmtId="0" fontId="2" fillId="0" borderId="0" xfId="0" applyFont="1"/>
    <xf numFmtId="0" fontId="2" fillId="0" borderId="1" xfId="0" applyFont="1" applyBorder="1"/>
    <xf numFmtId="0" fontId="4" fillId="5" borderId="2" xfId="1" applyFont="1" applyFill="1" applyBorder="1" applyAlignment="1"/>
    <xf numFmtId="0" fontId="1" fillId="0" borderId="0" xfId="0" applyFont="1" applyAlignment="1"/>
    <xf numFmtId="0" fontId="8" fillId="0" borderId="0" xfId="0" applyFont="1" applyFill="1" applyBorder="1" applyAlignment="1">
      <alignment vertical="top" wrapText="1"/>
    </xf>
    <xf numFmtId="0" fontId="2" fillId="0" borderId="0" xfId="0" applyFont="1" applyAlignment="1">
      <alignment horizontal="center" vertical="center"/>
    </xf>
    <xf numFmtId="0" fontId="4" fillId="0" borderId="1" xfId="0" applyFont="1" applyBorder="1" applyAlignment="1">
      <alignment horizontal="center" vertical="top" wrapText="1"/>
    </xf>
    <xf numFmtId="3" fontId="4" fillId="0" borderId="1" xfId="0" applyNumberFormat="1" applyFont="1" applyFill="1" applyBorder="1" applyAlignment="1">
      <alignment vertical="top" wrapText="1"/>
    </xf>
    <xf numFmtId="0" fontId="4" fillId="5" borderId="1" xfId="0" applyFont="1" applyFill="1" applyBorder="1" applyAlignment="1">
      <alignment horizontal="justify" vertical="center" wrapText="1"/>
    </xf>
    <xf numFmtId="0" fontId="4" fillId="0" borderId="1" xfId="0" applyFont="1" applyBorder="1" applyAlignment="1">
      <alignment horizontal="left" vertical="top" wrapText="1"/>
    </xf>
    <xf numFmtId="0" fontId="15" fillId="0" borderId="1" xfId="0" applyFont="1" applyBorder="1"/>
    <xf numFmtId="0" fontId="4" fillId="0" borderId="1" xfId="0" applyFont="1" applyFill="1" applyBorder="1" applyAlignment="1">
      <alignment vertical="top"/>
    </xf>
    <xf numFmtId="0" fontId="4" fillId="0" borderId="1" xfId="0" applyFont="1" applyFill="1" applyBorder="1" applyAlignment="1">
      <alignment horizontal="center" vertical="top"/>
    </xf>
    <xf numFmtId="164" fontId="4" fillId="0" borderId="1" xfId="0" applyNumberFormat="1" applyFont="1" applyFill="1" applyBorder="1" applyAlignment="1">
      <alignment horizontal="center" vertical="top"/>
    </xf>
    <xf numFmtId="0" fontId="6"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top" wrapText="1"/>
    </xf>
    <xf numFmtId="0" fontId="8" fillId="0" borderId="7" xfId="0" applyFont="1" applyBorder="1" applyAlignment="1">
      <alignment vertical="top"/>
    </xf>
    <xf numFmtId="0" fontId="8" fillId="0" borderId="1" xfId="0" applyFont="1" applyBorder="1" applyAlignment="1">
      <alignment vertical="top"/>
    </xf>
    <xf numFmtId="0" fontId="2" fillId="0" borderId="1" xfId="0" applyFont="1" applyBorder="1" applyAlignment="1">
      <alignment horizontal="center" vertical="center" wrapText="1"/>
    </xf>
    <xf numFmtId="3" fontId="8" fillId="0" borderId="1" xfId="0" applyNumberFormat="1"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165" fontId="8" fillId="0" borderId="0" xfId="3" applyFont="1" applyFill="1" applyBorder="1" applyAlignment="1">
      <alignment horizontal="center" vertical="center" wrapText="1"/>
    </xf>
    <xf numFmtId="0" fontId="8" fillId="0" borderId="7" xfId="0" applyFont="1" applyBorder="1" applyAlignment="1">
      <alignment horizontal="center" vertical="top" wrapText="1"/>
    </xf>
    <xf numFmtId="0" fontId="4" fillId="0" borderId="1" xfId="0" applyFont="1" applyBorder="1" applyAlignment="1">
      <alignment vertical="top" wrapText="1"/>
    </xf>
    <xf numFmtId="4" fontId="4" fillId="0" borderId="1" xfId="0" applyNumberFormat="1" applyFont="1" applyBorder="1" applyAlignment="1">
      <alignment horizontal="center" vertical="top" wrapText="1"/>
    </xf>
    <xf numFmtId="3" fontId="4" fillId="0" borderId="1" xfId="0" applyNumberFormat="1" applyFont="1" applyBorder="1" applyAlignment="1">
      <alignment horizontal="right" vertical="top" wrapText="1"/>
    </xf>
    <xf numFmtId="0" fontId="34" fillId="0" borderId="2" xfId="0" applyFont="1" applyBorder="1" applyAlignment="1">
      <alignment horizontal="center" vertical="top" wrapText="1"/>
    </xf>
    <xf numFmtId="0" fontId="34" fillId="0" borderId="2" xfId="0" applyFont="1" applyBorder="1" applyAlignment="1">
      <alignment horizontal="lef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8" fillId="0" borderId="1" xfId="0" applyFont="1" applyBorder="1" applyAlignment="1">
      <alignment vertical="top" wrapText="1"/>
    </xf>
    <xf numFmtId="0" fontId="18" fillId="0" borderId="1" xfId="0" applyFont="1" applyBorder="1" applyAlignment="1">
      <alignment horizontal="left" vertical="top" wrapText="1"/>
    </xf>
    <xf numFmtId="0" fontId="4" fillId="0" borderId="1" xfId="0" applyFont="1" applyFill="1" applyBorder="1" applyAlignment="1">
      <alignment vertical="center"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3" fontId="8" fillId="0" borderId="1" xfId="0" applyNumberFormat="1" applyFont="1" applyFill="1" applyBorder="1" applyAlignment="1">
      <alignment vertical="top" wrapText="1"/>
    </xf>
    <xf numFmtId="0" fontId="20" fillId="0" borderId="1" xfId="0" applyFont="1" applyFill="1" applyBorder="1" applyAlignment="1">
      <alignment horizontal="center" vertical="top"/>
    </xf>
    <xf numFmtId="0" fontId="18" fillId="0" borderId="1" xfId="0" applyFont="1" applyFill="1" applyBorder="1" applyAlignment="1">
      <alignment horizontal="center" vertical="top" wrapText="1"/>
    </xf>
    <xf numFmtId="164" fontId="18" fillId="0" borderId="1" xfId="0" applyNumberFormat="1" applyFont="1" applyFill="1" applyBorder="1" applyAlignment="1">
      <alignment horizontal="center" vertical="top" wrapText="1"/>
    </xf>
    <xf numFmtId="166" fontId="18" fillId="0" borderId="1" xfId="3" applyNumberFormat="1" applyFont="1" applyFill="1" applyBorder="1" applyAlignment="1">
      <alignment horizontal="center" vertical="top" wrapText="1"/>
    </xf>
    <xf numFmtId="0" fontId="20" fillId="0" borderId="1" xfId="0" applyFont="1" applyBorder="1" applyAlignment="1">
      <alignment horizontal="center" vertical="top" wrapText="1"/>
    </xf>
    <xf numFmtId="0" fontId="20" fillId="0" borderId="1" xfId="0" applyFont="1" applyFill="1" applyBorder="1" applyAlignment="1">
      <alignment horizontal="center" vertical="top" wrapText="1"/>
    </xf>
    <xf numFmtId="0" fontId="35" fillId="0" borderId="1" xfId="0" applyFont="1" applyBorder="1" applyAlignment="1">
      <alignment horizontal="center" vertical="center"/>
    </xf>
    <xf numFmtId="4" fontId="20" fillId="0" borderId="1" xfId="0" applyNumberFormat="1" applyFont="1" applyFill="1" applyBorder="1" applyAlignment="1">
      <alignment horizontal="center" vertical="top"/>
    </xf>
    <xf numFmtId="164" fontId="20" fillId="0" borderId="1" xfId="0" applyNumberFormat="1" applyFont="1" applyFill="1" applyBorder="1" applyAlignment="1">
      <alignment horizontal="center" vertical="top"/>
    </xf>
    <xf numFmtId="0" fontId="20" fillId="0" borderId="1" xfId="0" applyFont="1" applyBorder="1" applyAlignment="1">
      <alignment horizontal="center" wrapText="1"/>
    </xf>
    <xf numFmtId="4" fontId="20" fillId="0" borderId="1" xfId="0" quotePrefix="1" applyNumberFormat="1" applyFont="1" applyFill="1" applyBorder="1" applyAlignment="1">
      <alignment horizontal="center" vertical="top"/>
    </xf>
    <xf numFmtId="3" fontId="18" fillId="0" borderId="1" xfId="0" applyNumberFormat="1" applyFont="1" applyFill="1" applyBorder="1" applyAlignment="1">
      <alignment horizontal="center" vertical="top" wrapText="1"/>
    </xf>
    <xf numFmtId="0" fontId="8" fillId="0" borderId="1" xfId="1" applyFont="1" applyFill="1" applyBorder="1" applyAlignment="1">
      <alignment vertical="center" wrapText="1"/>
    </xf>
    <xf numFmtId="0" fontId="9" fillId="0" borderId="1" xfId="1" applyFont="1" applyFill="1" applyBorder="1" applyAlignment="1">
      <alignment vertical="center" wrapText="1"/>
    </xf>
    <xf numFmtId="165" fontId="4" fillId="0" borderId="1" xfId="3" applyFont="1" applyFill="1" applyBorder="1" applyAlignment="1">
      <alignment horizontal="left" vertical="center"/>
    </xf>
    <xf numFmtId="165" fontId="4" fillId="0" borderId="1" xfId="3" applyFont="1" applyFill="1" applyBorder="1" applyAlignment="1">
      <alignment vertical="center" wrapText="1"/>
    </xf>
    <xf numFmtId="165" fontId="8" fillId="0" borderId="0" xfId="3" applyFont="1" applyFill="1" applyAlignment="1">
      <alignment vertical="center" wrapText="1"/>
    </xf>
    <xf numFmtId="165" fontId="4" fillId="0" borderId="0" xfId="3" applyFont="1" applyFill="1" applyAlignment="1">
      <alignment horizontal="left" vertical="center"/>
    </xf>
    <xf numFmtId="0" fontId="34" fillId="0" borderId="1" xfId="0" applyFont="1" applyBorder="1" applyAlignment="1">
      <alignment horizontal="left" vertical="top" wrapText="1"/>
    </xf>
    <xf numFmtId="0" fontId="8" fillId="0" borderId="0" xfId="0" applyFont="1" applyBorder="1" applyAlignment="1">
      <alignment vertical="center" wrapText="1"/>
    </xf>
    <xf numFmtId="167" fontId="1" fillId="0" borderId="1" xfId="0" applyNumberFormat="1" applyFont="1" applyBorder="1"/>
    <xf numFmtId="0" fontId="1" fillId="0" borderId="1" xfId="0" applyFont="1" applyBorder="1" applyAlignment="1"/>
    <xf numFmtId="167" fontId="1" fillId="0" borderId="0" xfId="2" applyNumberFormat="1" applyFont="1"/>
    <xf numFmtId="0" fontId="6" fillId="5" borderId="1" xfId="0" applyFont="1" applyFill="1" applyBorder="1" applyAlignment="1">
      <alignment horizontal="center"/>
    </xf>
    <xf numFmtId="0" fontId="37" fillId="5" borderId="1" xfId="0" applyFont="1" applyFill="1" applyBorder="1" applyAlignment="1">
      <alignment wrapText="1"/>
    </xf>
    <xf numFmtId="0" fontId="6" fillId="5" borderId="0" xfId="0" applyFont="1" applyFill="1" applyAlignment="1">
      <alignment horizontal="center" vertical="center"/>
    </xf>
    <xf numFmtId="0" fontId="8" fillId="5" borderId="0" xfId="0" applyFont="1" applyFill="1" applyBorder="1" applyAlignment="1">
      <alignment horizontal="center" wrapText="1"/>
    </xf>
    <xf numFmtId="0" fontId="6" fillId="5" borderId="1" xfId="0" applyFont="1" applyFill="1" applyBorder="1" applyAlignment="1">
      <alignment horizontal="center" vertical="center"/>
    </xf>
    <xf numFmtId="0" fontId="8" fillId="5" borderId="1" xfId="0" applyFont="1" applyFill="1" applyBorder="1" applyAlignment="1">
      <alignment horizontal="center" wrapText="1"/>
    </xf>
    <xf numFmtId="164" fontId="8" fillId="5" borderId="1" xfId="0" applyNumberFormat="1" applyFont="1" applyFill="1" applyBorder="1" applyAlignment="1">
      <alignment horizontal="center" wrapText="1"/>
    </xf>
    <xf numFmtId="3" fontId="8" fillId="5" borderId="1" xfId="0" applyNumberFormat="1" applyFont="1" applyFill="1" applyBorder="1" applyAlignment="1">
      <alignment horizontal="center" wrapText="1"/>
    </xf>
    <xf numFmtId="0" fontId="18" fillId="5" borderId="1" xfId="0" applyFont="1" applyFill="1" applyBorder="1" applyAlignment="1">
      <alignment vertical="top" wrapText="1"/>
    </xf>
    <xf numFmtId="0" fontId="18" fillId="5" borderId="1" xfId="0" applyFont="1" applyFill="1" applyBorder="1" applyAlignment="1">
      <alignment horizontal="left" vertical="top" wrapText="1"/>
    </xf>
    <xf numFmtId="0" fontId="8" fillId="5" borderId="4" xfId="0" applyFont="1" applyFill="1" applyBorder="1" applyAlignment="1">
      <alignment horizontal="center" wrapText="1"/>
    </xf>
    <xf numFmtId="164" fontId="8" fillId="5" borderId="4" xfId="0" applyNumberFormat="1" applyFont="1" applyFill="1" applyBorder="1" applyAlignment="1">
      <alignment horizontal="center" wrapText="1"/>
    </xf>
    <xf numFmtId="3" fontId="8" fillId="5" borderId="4" xfId="0" applyNumberFormat="1" applyFont="1" applyFill="1" applyBorder="1" applyAlignment="1">
      <alignment horizont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4" fontId="4" fillId="5" borderId="1" xfId="0" applyNumberFormat="1" applyFont="1" applyFill="1" applyBorder="1" applyAlignment="1">
      <alignment horizontal="center" vertical="center" wrapText="1"/>
    </xf>
    <xf numFmtId="3" fontId="4" fillId="5" borderId="1" xfId="0" applyNumberFormat="1" applyFont="1" applyFill="1" applyBorder="1" applyAlignment="1">
      <alignment wrapText="1"/>
    </xf>
    <xf numFmtId="0" fontId="8" fillId="5" borderId="1" xfId="0" applyFont="1" applyFill="1" applyBorder="1" applyAlignment="1">
      <alignment vertical="top" wrapText="1"/>
    </xf>
    <xf numFmtId="0" fontId="8" fillId="5" borderId="1" xfId="0" applyFont="1" applyFill="1" applyBorder="1" applyAlignment="1">
      <alignment horizontal="left" vertical="top" wrapText="1"/>
    </xf>
    <xf numFmtId="164" fontId="8" fillId="5" borderId="4" xfId="0" applyNumberFormat="1" applyFont="1" applyFill="1" applyBorder="1" applyAlignment="1">
      <alignment horizontal="center" vertical="center" wrapText="1"/>
    </xf>
    <xf numFmtId="3" fontId="8" fillId="5" borderId="1" xfId="0" applyNumberFormat="1" applyFont="1" applyFill="1" applyBorder="1" applyAlignment="1">
      <alignment wrapText="1"/>
    </xf>
    <xf numFmtId="0" fontId="4" fillId="5" borderId="1" xfId="0" applyFont="1" applyFill="1" applyBorder="1" applyAlignment="1">
      <alignment horizontal="center" wrapText="1"/>
    </xf>
    <xf numFmtId="164" fontId="4" fillId="5" borderId="1" xfId="0" applyNumberFormat="1" applyFont="1" applyFill="1" applyBorder="1" applyAlignment="1">
      <alignment horizontal="center" wrapText="1"/>
    </xf>
    <xf numFmtId="3" fontId="6" fillId="5" borderId="1" xfId="0" applyNumberFormat="1" applyFont="1" applyFill="1" applyBorder="1" applyAlignment="1">
      <alignment wrapText="1"/>
    </xf>
    <xf numFmtId="0" fontId="4" fillId="5" borderId="1" xfId="0" applyFont="1" applyFill="1" applyBorder="1" applyAlignment="1">
      <alignment horizontal="center"/>
    </xf>
    <xf numFmtId="0" fontId="4" fillId="5" borderId="2" xfId="1" applyFont="1" applyFill="1" applyBorder="1" applyAlignment="1">
      <alignment wrapText="1"/>
    </xf>
    <xf numFmtId="0" fontId="4" fillId="5" borderId="1" xfId="0" applyFont="1" applyFill="1" applyBorder="1" applyAlignment="1">
      <alignment horizontal="left" wrapText="1"/>
    </xf>
    <xf numFmtId="0" fontId="6" fillId="5" borderId="1" xfId="0" applyFont="1" applyFill="1" applyBorder="1" applyAlignment="1">
      <alignment wrapText="1"/>
    </xf>
    <xf numFmtId="0" fontId="7" fillId="5" borderId="1" xfId="0" applyFont="1" applyFill="1" applyBorder="1" applyAlignment="1">
      <alignment horizontal="center" wrapText="1"/>
    </xf>
    <xf numFmtId="164" fontId="7" fillId="5" borderId="1" xfId="0" applyNumberFormat="1" applyFont="1" applyFill="1" applyBorder="1" applyAlignment="1">
      <alignment horizontal="center" wrapText="1"/>
    </xf>
    <xf numFmtId="3" fontId="7" fillId="5" borderId="1" xfId="0" applyNumberFormat="1" applyFont="1" applyFill="1" applyBorder="1" applyAlignment="1">
      <alignment wrapText="1"/>
    </xf>
    <xf numFmtId="0" fontId="7" fillId="5" borderId="1" xfId="0" applyFont="1" applyFill="1" applyBorder="1" applyAlignment="1"/>
    <xf numFmtId="0" fontId="7" fillId="5" borderId="1" xfId="0" applyFont="1" applyFill="1" applyBorder="1" applyAlignment="1">
      <alignment horizontal="center"/>
    </xf>
    <xf numFmtId="164" fontId="7" fillId="5" borderId="1" xfId="0" applyNumberFormat="1" applyFont="1" applyFill="1" applyBorder="1" applyAlignment="1">
      <alignment horizontal="center"/>
    </xf>
    <xf numFmtId="0" fontId="4" fillId="5" borderId="1" xfId="0" applyFont="1" applyFill="1" applyBorder="1" applyAlignment="1">
      <alignment horizontal="justify" wrapText="1"/>
    </xf>
    <xf numFmtId="164" fontId="4" fillId="5" borderId="1" xfId="0" applyNumberFormat="1" applyFont="1" applyFill="1" applyBorder="1" applyAlignment="1">
      <alignment horizontal="center"/>
    </xf>
    <xf numFmtId="0" fontId="6" fillId="5" borderId="1" xfId="0" applyFont="1" applyFill="1" applyBorder="1" applyAlignment="1">
      <alignment horizontal="center" wrapText="1"/>
    </xf>
    <xf numFmtId="0" fontId="9" fillId="5" borderId="1" xfId="0" applyFont="1" applyFill="1" applyBorder="1" applyAlignment="1">
      <alignment wrapText="1"/>
    </xf>
    <xf numFmtId="0" fontId="9" fillId="5" borderId="1" xfId="0" applyFont="1" applyFill="1" applyBorder="1" applyAlignment="1">
      <alignment horizontal="center" wrapText="1"/>
    </xf>
    <xf numFmtId="164" fontId="9" fillId="5" borderId="1" xfId="0" applyNumberFormat="1" applyFont="1" applyFill="1" applyBorder="1" applyAlignment="1">
      <alignment horizontal="center" wrapText="1"/>
    </xf>
    <xf numFmtId="0" fontId="9" fillId="5" borderId="1" xfId="0" applyFont="1" applyFill="1" applyBorder="1" applyAlignment="1">
      <alignment horizontal="justify" wrapText="1"/>
    </xf>
    <xf numFmtId="0" fontId="5" fillId="5" borderId="1" xfId="0" applyFont="1" applyFill="1" applyBorder="1" applyAlignment="1">
      <alignment horizontal="center" wrapText="1"/>
    </xf>
    <xf numFmtId="0" fontId="5" fillId="5" borderId="1" xfId="0" applyFont="1" applyFill="1" applyBorder="1" applyAlignment="1">
      <alignment wrapText="1"/>
    </xf>
    <xf numFmtId="164" fontId="5" fillId="5" borderId="1" xfId="0" applyNumberFormat="1" applyFont="1" applyFill="1" applyBorder="1" applyAlignment="1">
      <alignment horizontal="center" wrapText="1"/>
    </xf>
    <xf numFmtId="164" fontId="6" fillId="5" borderId="1" xfId="0" applyNumberFormat="1" applyFont="1" applyFill="1" applyBorder="1" applyAlignment="1">
      <alignment wrapText="1"/>
    </xf>
    <xf numFmtId="0" fontId="6" fillId="5" borderId="1" xfId="0" applyFont="1" applyFill="1" applyBorder="1" applyAlignment="1"/>
    <xf numFmtId="164" fontId="6" fillId="5" borderId="1" xfId="0" applyNumberFormat="1" applyFont="1" applyFill="1" applyBorder="1" applyAlignment="1"/>
    <xf numFmtId="0" fontId="5" fillId="5" borderId="1" xfId="0" applyFont="1" applyFill="1" applyBorder="1" applyAlignment="1">
      <alignment horizontal="justify" vertical="center" wrapText="1"/>
    </xf>
    <xf numFmtId="0" fontId="5" fillId="5" borderId="1" xfId="0" applyFont="1" applyFill="1" applyBorder="1" applyAlignment="1">
      <alignment horizontal="center" vertical="center" wrapText="1"/>
    </xf>
    <xf numFmtId="3" fontId="4" fillId="5" borderId="1" xfId="0" applyNumberFormat="1" applyFont="1" applyFill="1" applyBorder="1" applyAlignment="1">
      <alignment vertical="center" wrapText="1"/>
    </xf>
    <xf numFmtId="0" fontId="4" fillId="5" borderId="1" xfId="1" applyFont="1" applyFill="1" applyBorder="1" applyAlignment="1">
      <alignment horizontal="justify" wrapText="1"/>
    </xf>
    <xf numFmtId="0" fontId="6" fillId="5" borderId="1" xfId="0" applyFont="1" applyFill="1" applyBorder="1" applyAlignment="1">
      <alignment horizontal="justify" wrapText="1"/>
    </xf>
    <xf numFmtId="0" fontId="8" fillId="5" borderId="1" xfId="0" applyFont="1" applyFill="1" applyBorder="1" applyAlignment="1">
      <alignment horizontal="center"/>
    </xf>
    <xf numFmtId="164" fontId="6" fillId="5" borderId="1" xfId="0" applyNumberFormat="1" applyFont="1" applyFill="1" applyBorder="1" applyAlignment="1">
      <alignment horizontal="center"/>
    </xf>
    <xf numFmtId="0" fontId="4" fillId="5" borderId="0" xfId="0" applyFont="1" applyFill="1" applyAlignment="1">
      <alignment horizontal="center"/>
    </xf>
    <xf numFmtId="0" fontId="4" fillId="5" borderId="0" xfId="0" applyFont="1" applyFill="1" applyAlignment="1"/>
    <xf numFmtId="164" fontId="4" fillId="5" borderId="0" xfId="0" applyNumberFormat="1" applyFont="1" applyFill="1" applyAlignment="1"/>
    <xf numFmtId="0" fontId="40" fillId="0" borderId="1" xfId="0" applyFont="1" applyBorder="1" applyAlignment="1">
      <alignment vertical="center" wrapText="1"/>
    </xf>
    <xf numFmtId="0" fontId="4" fillId="0" borderId="1" xfId="1" applyFont="1" applyFill="1" applyBorder="1" applyAlignment="1"/>
    <xf numFmtId="0" fontId="6" fillId="0" borderId="1" xfId="0" applyFont="1" applyFill="1" applyBorder="1" applyAlignment="1">
      <alignment horizontal="left" vertical="top" wrapText="1"/>
    </xf>
    <xf numFmtId="0" fontId="8" fillId="0" borderId="1" xfId="0" applyFont="1" applyFill="1" applyBorder="1" applyAlignment="1">
      <alignment horizontal="center" vertical="top" wrapText="1"/>
    </xf>
    <xf numFmtId="169" fontId="4" fillId="0" borderId="1" xfId="0" applyNumberFormat="1" applyFont="1" applyFill="1" applyBorder="1" applyAlignment="1">
      <alignment horizontal="center" vertical="top" wrapText="1"/>
    </xf>
    <xf numFmtId="0" fontId="4" fillId="0" borderId="1" xfId="0" applyFont="1" applyFill="1" applyBorder="1" applyAlignment="1">
      <alignment horizontal="left" vertical="center" wrapText="1"/>
    </xf>
    <xf numFmtId="0" fontId="8" fillId="5" borderId="1" xfId="0" applyFont="1" applyFill="1" applyBorder="1" applyAlignment="1">
      <alignment wrapText="1"/>
    </xf>
    <xf numFmtId="0" fontId="8" fillId="5" borderId="5" xfId="0" applyFont="1" applyFill="1" applyBorder="1" applyAlignment="1">
      <alignment wrapText="1"/>
    </xf>
    <xf numFmtId="167" fontId="8" fillId="5" borderId="5" xfId="2" applyNumberFormat="1" applyFont="1" applyFill="1" applyBorder="1" applyAlignment="1">
      <alignment wrapText="1"/>
    </xf>
    <xf numFmtId="3" fontId="20" fillId="5" borderId="1" xfId="0" applyNumberFormat="1" applyFont="1" applyFill="1" applyBorder="1" applyAlignment="1">
      <alignment wrapText="1"/>
    </xf>
    <xf numFmtId="3" fontId="8" fillId="5" borderId="5" xfId="0" applyNumberFormat="1" applyFont="1" applyFill="1" applyBorder="1" applyAlignment="1">
      <alignment wrapText="1"/>
    </xf>
    <xf numFmtId="166" fontId="4" fillId="0" borderId="1" xfId="5" applyNumberFormat="1" applyFont="1" applyFill="1" applyBorder="1" applyAlignment="1">
      <alignment vertical="top" wrapText="1"/>
    </xf>
    <xf numFmtId="0" fontId="0" fillId="0" borderId="0" xfId="0" applyFill="1" applyAlignment="1">
      <alignment vertical="center"/>
    </xf>
    <xf numFmtId="0" fontId="29" fillId="0" borderId="1" xfId="0" applyFont="1" applyBorder="1" applyAlignment="1">
      <alignment horizontal="justify" vertical="center"/>
    </xf>
    <xf numFmtId="0" fontId="1" fillId="0" borderId="0" xfId="0" applyFont="1" applyAlignment="1">
      <alignment horizontal="left"/>
    </xf>
    <xf numFmtId="165" fontId="4" fillId="0" borderId="0" xfId="3" applyFont="1" applyFill="1" applyAlignment="1">
      <alignment vertical="center"/>
    </xf>
    <xf numFmtId="0" fontId="43" fillId="0" borderId="0" xfId="0" applyFont="1"/>
    <xf numFmtId="0" fontId="4" fillId="3" borderId="1" xfId="0" applyFont="1" applyFill="1" applyBorder="1" applyAlignment="1">
      <alignment horizontal="center" vertical="center" wrapText="1"/>
    </xf>
    <xf numFmtId="0" fontId="6" fillId="0" borderId="1" xfId="0" applyFont="1" applyFill="1" applyBorder="1" applyAlignment="1">
      <alignment horizontal="left" vertical="top" wrapText="1"/>
    </xf>
    <xf numFmtId="0" fontId="6" fillId="0" borderId="1" xfId="0" applyFont="1" applyBorder="1" applyAlignment="1">
      <alignment vertical="top" wrapText="1"/>
    </xf>
    <xf numFmtId="0" fontId="8" fillId="0" borderId="1" xfId="0" applyFont="1" applyFill="1" applyBorder="1" applyAlignment="1">
      <alignment horizontal="center" vertical="top" wrapText="1"/>
    </xf>
    <xf numFmtId="3" fontId="8" fillId="0" borderId="1" xfId="0" applyNumberFormat="1" applyFont="1" applyFill="1" applyBorder="1" applyAlignment="1">
      <alignment horizontal="center" vertical="top" wrapText="1"/>
    </xf>
    <xf numFmtId="165" fontId="4" fillId="0" borderId="0" xfId="3" applyFont="1" applyFill="1" applyBorder="1" applyAlignment="1">
      <alignment horizontal="lef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3" fontId="6" fillId="0" borderId="1" xfId="0" applyNumberFormat="1" applyFont="1" applyFill="1" applyBorder="1" applyAlignment="1">
      <alignmen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top" wrapText="1"/>
    </xf>
    <xf numFmtId="0" fontId="8" fillId="0" borderId="1" xfId="1" applyFont="1" applyFill="1" applyBorder="1" applyAlignment="1">
      <alignment horizontal="left" vertical="center"/>
    </xf>
    <xf numFmtId="0" fontId="4" fillId="0" borderId="1" xfId="0" applyFont="1" applyBorder="1" applyAlignment="1">
      <alignment vertical="center" wrapText="1"/>
    </xf>
    <xf numFmtId="0" fontId="15" fillId="0" borderId="1" xfId="0" applyFont="1" applyBorder="1" applyAlignment="1">
      <alignment vertical="center"/>
    </xf>
    <xf numFmtId="0" fontId="6" fillId="5" borderId="2" xfId="0" applyFont="1" applyFill="1" applyBorder="1" applyAlignment="1">
      <alignment horizontal="center" vertical="top" wrapText="1"/>
    </xf>
    <xf numFmtId="0" fontId="6" fillId="5" borderId="1" xfId="0" applyFont="1" applyFill="1" applyBorder="1" applyAlignment="1">
      <alignment vertical="top" wrapText="1"/>
    </xf>
    <xf numFmtId="0" fontId="6" fillId="5" borderId="2"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center" wrapText="1"/>
    </xf>
    <xf numFmtId="0" fontId="44" fillId="5" borderId="1" xfId="0" applyFont="1" applyFill="1" applyBorder="1" applyAlignment="1">
      <alignment horizontal="center" vertical="top" wrapText="1"/>
    </xf>
    <xf numFmtId="0" fontId="6" fillId="5" borderId="8" xfId="0" applyFont="1" applyFill="1" applyBorder="1" applyAlignment="1">
      <alignment horizontal="center" vertical="top" wrapText="1"/>
    </xf>
    <xf numFmtId="167" fontId="1" fillId="0" borderId="1" xfId="0" applyNumberFormat="1" applyFont="1" applyBorder="1" applyAlignment="1">
      <alignment vertical="center"/>
    </xf>
    <xf numFmtId="165" fontId="2" fillId="0" borderId="1" xfId="3" applyFont="1" applyFill="1" applyBorder="1" applyAlignment="1">
      <alignment horizontal="center" vertical="center" wrapText="1"/>
    </xf>
    <xf numFmtId="166" fontId="1" fillId="0" borderId="1" xfId="3" applyNumberFormat="1" applyFont="1" applyFill="1" applyBorder="1" applyAlignment="1">
      <alignment horizontal="center" vertical="center" wrapText="1"/>
    </xf>
    <xf numFmtId="165" fontId="1" fillId="0" borderId="1" xfId="3" applyFont="1" applyFill="1" applyBorder="1" applyAlignment="1">
      <alignment horizontal="center" vertical="center" wrapText="1"/>
    </xf>
    <xf numFmtId="166" fontId="1" fillId="0" borderId="1" xfId="4" applyNumberFormat="1" applyFont="1" applyBorder="1" applyAlignment="1">
      <alignment horizontal="center" vertical="center"/>
    </xf>
    <xf numFmtId="166" fontId="8" fillId="0" borderId="0" xfId="3" applyNumberFormat="1" applyFont="1" applyFill="1" applyAlignment="1">
      <alignment horizontal="center" vertical="center"/>
    </xf>
    <xf numFmtId="165" fontId="4" fillId="0" borderId="0" xfId="3" applyFont="1" applyFill="1" applyAlignment="1">
      <alignment horizontal="center" vertical="center"/>
    </xf>
    <xf numFmtId="166" fontId="8" fillId="0" borderId="1" xfId="3" applyNumberFormat="1" applyFont="1" applyFill="1" applyBorder="1" applyAlignment="1">
      <alignment horizontal="center" vertical="center"/>
    </xf>
    <xf numFmtId="166" fontId="24" fillId="0" borderId="2" xfId="3" applyNumberFormat="1" applyFont="1" applyFill="1" applyBorder="1" applyAlignment="1">
      <alignment horizontal="center" vertical="center"/>
    </xf>
    <xf numFmtId="165" fontId="1" fillId="0" borderId="1" xfId="3" applyFont="1" applyFill="1" applyBorder="1" applyAlignment="1">
      <alignment horizontal="center" vertical="center"/>
    </xf>
    <xf numFmtId="0" fontId="19" fillId="0" borderId="0" xfId="0" applyFont="1" applyAlignment="1">
      <alignment horizontal="center" vertical="center"/>
    </xf>
    <xf numFmtId="0" fontId="19" fillId="0" borderId="1" xfId="0" applyFont="1" applyBorder="1" applyAlignment="1">
      <alignment horizontal="center" vertical="center"/>
    </xf>
    <xf numFmtId="166" fontId="1" fillId="0" borderId="1" xfId="3" applyNumberFormat="1" applyFont="1" applyFill="1" applyBorder="1" applyAlignment="1">
      <alignment horizontal="center" vertical="center"/>
    </xf>
    <xf numFmtId="3" fontId="1" fillId="0" borderId="1" xfId="3" applyNumberFormat="1" applyFont="1" applyFill="1" applyBorder="1" applyAlignment="1">
      <alignment horizontal="center" vertical="center"/>
    </xf>
    <xf numFmtId="166" fontId="8" fillId="0" borderId="9" xfId="3" applyNumberFormat="1" applyFont="1" applyFill="1" applyBorder="1" applyAlignment="1">
      <alignment horizontal="center" vertical="center"/>
    </xf>
    <xf numFmtId="165" fontId="8" fillId="0" borderId="0" xfId="3" applyFont="1" applyFill="1" applyBorder="1" applyAlignment="1">
      <alignment horizontal="center" vertical="center" wrapText="1"/>
    </xf>
    <xf numFmtId="167" fontId="29" fillId="0" borderId="1" xfId="2" applyNumberFormat="1" applyFont="1" applyBorder="1"/>
    <xf numFmtId="165" fontId="1" fillId="0" borderId="0" xfId="3" applyFont="1" applyFill="1" applyBorder="1" applyAlignment="1">
      <alignment horizontal="center" vertical="center"/>
    </xf>
    <xf numFmtId="3" fontId="1" fillId="0" borderId="0" xfId="3" applyNumberFormat="1" applyFont="1" applyFill="1" applyBorder="1" applyAlignment="1">
      <alignment horizontal="center" vertical="center"/>
    </xf>
    <xf numFmtId="3" fontId="23" fillId="0" borderId="1" xfId="3" applyNumberFormat="1" applyFont="1" applyFill="1" applyBorder="1" applyAlignment="1">
      <alignment horizontal="center" vertical="center"/>
    </xf>
    <xf numFmtId="0" fontId="4" fillId="0" borderId="0" xfId="1" applyFont="1" applyFill="1" applyBorder="1" applyAlignment="1">
      <alignment horizontal="center" vertical="top" wrapText="1"/>
    </xf>
    <xf numFmtId="0" fontId="15" fillId="0" borderId="0" xfId="0" applyFont="1" applyBorder="1" applyAlignment="1">
      <alignment vertical="center"/>
    </xf>
    <xf numFmtId="0" fontId="1" fillId="0" borderId="0" xfId="0" applyFont="1" applyBorder="1" applyAlignment="1">
      <alignment horizontal="left" vertical="center" wrapText="1"/>
    </xf>
    <xf numFmtId="3" fontId="4" fillId="0" borderId="0" xfId="3" applyNumberFormat="1" applyFont="1" applyFill="1" applyBorder="1" applyAlignment="1">
      <alignment horizontal="right" vertical="top"/>
    </xf>
    <xf numFmtId="3" fontId="4" fillId="0" borderId="0" xfId="1" applyNumberFormat="1" applyFont="1" applyFill="1" applyBorder="1" applyAlignment="1">
      <alignment vertical="top" wrapText="1"/>
    </xf>
    <xf numFmtId="166" fontId="4" fillId="0" borderId="0" xfId="3" applyNumberFormat="1" applyFont="1" applyFill="1" applyBorder="1" applyAlignment="1">
      <alignment vertical="top"/>
    </xf>
    <xf numFmtId="166" fontId="8" fillId="0" borderId="0" xfId="3" applyNumberFormat="1" applyFont="1" applyFill="1" applyBorder="1" applyAlignment="1">
      <alignment horizontal="center" vertical="center"/>
    </xf>
    <xf numFmtId="166" fontId="1" fillId="0" borderId="0" xfId="3" applyNumberFormat="1" applyFont="1" applyFill="1" applyBorder="1" applyAlignment="1">
      <alignment horizontal="center" vertical="center"/>
    </xf>
    <xf numFmtId="0" fontId="29" fillId="0" borderId="0" xfId="0" applyFont="1" applyAlignment="1">
      <alignment vertical="center"/>
    </xf>
    <xf numFmtId="3" fontId="4" fillId="3" borderId="1" xfId="0" applyNumberFormat="1" applyFont="1" applyFill="1" applyBorder="1" applyAlignment="1">
      <alignment vertical="center"/>
    </xf>
    <xf numFmtId="170" fontId="4" fillId="3" borderId="1" xfId="2" applyNumberFormat="1" applyFont="1" applyFill="1" applyBorder="1" applyAlignment="1">
      <alignment vertical="center"/>
    </xf>
    <xf numFmtId="169" fontId="4" fillId="0" borderId="0" xfId="0" applyNumberFormat="1" applyFont="1" applyFill="1" applyBorder="1" applyAlignment="1">
      <alignment horizontal="center" vertical="top" wrapText="1"/>
    </xf>
    <xf numFmtId="0" fontId="1" fillId="0" borderId="0" xfId="0" applyFont="1" applyBorder="1"/>
    <xf numFmtId="167" fontId="29" fillId="0" borderId="3" xfId="2" applyNumberFormat="1" applyFont="1" applyBorder="1" applyAlignment="1">
      <alignment vertical="center"/>
    </xf>
    <xf numFmtId="167" fontId="29" fillId="0" borderId="4" xfId="2" applyNumberFormat="1" applyFont="1" applyBorder="1" applyAlignment="1">
      <alignment vertical="center"/>
    </xf>
    <xf numFmtId="167" fontId="29" fillId="0" borderId="5" xfId="2" applyNumberFormat="1" applyFont="1" applyBorder="1" applyAlignment="1">
      <alignment vertical="center"/>
    </xf>
    <xf numFmtId="3" fontId="6" fillId="0" borderId="1" xfId="0" applyNumberFormat="1" applyFont="1" applyFill="1" applyBorder="1" applyAlignment="1">
      <alignment vertical="top"/>
    </xf>
    <xf numFmtId="0" fontId="8" fillId="3" borderId="1" xfId="0" quotePrefix="1" applyFont="1" applyFill="1" applyBorder="1" applyAlignment="1">
      <alignment horizontal="center" vertical="top" wrapText="1"/>
    </xf>
    <xf numFmtId="0" fontId="8" fillId="4" borderId="1" xfId="0" quotePrefix="1" applyFont="1" applyFill="1" applyBorder="1" applyAlignment="1">
      <alignment horizontal="center" vertical="top" wrapText="1"/>
    </xf>
    <xf numFmtId="0" fontId="45" fillId="0" borderId="0" xfId="0" applyFont="1" applyFill="1" applyAlignment="1">
      <alignment vertical="center"/>
    </xf>
    <xf numFmtId="165" fontId="8" fillId="0" borderId="6" xfId="3" applyFont="1" applyFill="1" applyBorder="1" applyAlignment="1">
      <alignment horizontal="center" vertical="center" wrapText="1"/>
    </xf>
    <xf numFmtId="0" fontId="8" fillId="0" borderId="1" xfId="1" applyFont="1" applyFill="1" applyBorder="1" applyAlignment="1">
      <alignment horizontal="left" vertical="center" wrapText="1"/>
    </xf>
    <xf numFmtId="0" fontId="8" fillId="0" borderId="3" xfId="1" applyFont="1" applyFill="1" applyBorder="1" applyAlignment="1">
      <alignment horizontal="center" vertical="center" wrapText="1"/>
    </xf>
    <xf numFmtId="0" fontId="8" fillId="0" borderId="5" xfId="1"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3" fontId="8" fillId="0" borderId="1" xfId="0" applyNumberFormat="1" applyFont="1" applyBorder="1" applyAlignment="1">
      <alignment horizontal="center" vertical="top" wrapText="1"/>
    </xf>
    <xf numFmtId="0" fontId="8" fillId="0" borderId="0" xfId="1" applyFont="1" applyBorder="1" applyAlignment="1">
      <alignment horizontal="center" vertical="center"/>
    </xf>
    <xf numFmtId="0" fontId="7" fillId="0" borderId="0" xfId="1" quotePrefix="1" applyFont="1" applyFill="1" applyBorder="1" applyAlignment="1">
      <alignment vertical="center" wrapText="1"/>
    </xf>
    <xf numFmtId="0" fontId="7" fillId="0" borderId="0" xfId="1" applyFont="1" applyFill="1" applyBorder="1" applyAlignment="1">
      <alignment vertical="center" wrapText="1"/>
    </xf>
    <xf numFmtId="0" fontId="8" fillId="0" borderId="1" xfId="1" applyFont="1" applyBorder="1" applyAlignment="1">
      <alignment horizontal="center" vertical="top"/>
    </xf>
    <xf numFmtId="0" fontId="8" fillId="0" borderId="1" xfId="1" applyFont="1" applyBorder="1" applyAlignment="1">
      <alignment horizontal="center" vertical="top" wrapText="1"/>
    </xf>
    <xf numFmtId="3" fontId="8" fillId="0" borderId="1" xfId="1" applyNumberFormat="1" applyFont="1" applyBorder="1" applyAlignment="1">
      <alignment horizontal="center" vertical="top"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7" fillId="0" borderId="0" xfId="0" applyFont="1" applyBorder="1" applyAlignment="1">
      <alignment horizontal="center" vertical="center" wrapText="1"/>
    </xf>
    <xf numFmtId="0" fontId="8" fillId="0" borderId="0" xfId="0" applyFont="1" applyBorder="1" applyAlignment="1">
      <alignment horizontal="center" vertical="center"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4" fillId="0" borderId="3" xfId="0" applyFont="1" applyBorder="1" applyAlignment="1">
      <alignment horizontal="center" vertical="top" wrapText="1"/>
    </xf>
    <xf numFmtId="0" fontId="4" fillId="0" borderId="5" xfId="0" applyFont="1" applyBorder="1" applyAlignment="1">
      <alignment horizontal="center" vertical="top"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6" fillId="0" borderId="3" xfId="0" applyFont="1" applyBorder="1" applyAlignment="1">
      <alignment horizontal="center" vertical="top" wrapText="1"/>
    </xf>
    <xf numFmtId="0" fontId="6" fillId="0" borderId="5" xfId="0" applyFont="1" applyBorder="1" applyAlignment="1">
      <alignment horizontal="center" vertical="top" wrapText="1"/>
    </xf>
    <xf numFmtId="0" fontId="2" fillId="0" borderId="1" xfId="0" applyFont="1" applyBorder="1" applyAlignment="1">
      <alignment horizontal="center" vertical="center" wrapText="1"/>
    </xf>
    <xf numFmtId="0" fontId="29"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xf>
    <xf numFmtId="0" fontId="6" fillId="0" borderId="1" xfId="0" applyFont="1" applyFill="1" applyBorder="1" applyAlignment="1">
      <alignment horizontal="left" vertical="top" wrapText="1"/>
    </xf>
    <xf numFmtId="0" fontId="33" fillId="0" borderId="6" xfId="0" applyFont="1" applyBorder="1" applyAlignment="1">
      <alignment horizontal="right"/>
    </xf>
    <xf numFmtId="0" fontId="33" fillId="0" borderId="6" xfId="0" applyFont="1" applyBorder="1" applyAlignment="1"/>
    <xf numFmtId="0" fontId="6" fillId="0" borderId="1" xfId="0" applyFont="1" applyBorder="1" applyAlignment="1">
      <alignment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vertical="top" wrapText="1"/>
    </xf>
    <xf numFmtId="0" fontId="8" fillId="0" borderId="1" xfId="0" applyFont="1" applyFill="1" applyBorder="1" applyAlignment="1">
      <alignment horizontal="center" vertical="top" wrapText="1"/>
    </xf>
    <xf numFmtId="0" fontId="8" fillId="0" borderId="3" xfId="0" applyFont="1" applyBorder="1" applyAlignment="1">
      <alignment horizontal="left" vertical="top"/>
    </xf>
    <xf numFmtId="0" fontId="8" fillId="0" borderId="4" xfId="0" applyFont="1" applyBorder="1" applyAlignment="1">
      <alignment horizontal="left" vertical="top"/>
    </xf>
    <xf numFmtId="0" fontId="8" fillId="0" borderId="5" xfId="0" applyFont="1" applyBorder="1" applyAlignment="1">
      <alignment horizontal="left" vertical="top"/>
    </xf>
    <xf numFmtId="0" fontId="6" fillId="0" borderId="3" xfId="0" applyFont="1" applyFill="1" applyBorder="1" applyAlignment="1">
      <alignment horizontal="left" vertical="top" wrapText="1"/>
    </xf>
    <xf numFmtId="0" fontId="6" fillId="0" borderId="4" xfId="0" applyFont="1" applyFill="1" applyBorder="1" applyAlignment="1">
      <alignment horizontal="left" vertical="top" wrapText="1"/>
    </xf>
    <xf numFmtId="0" fontId="6" fillId="0" borderId="5" xfId="0" applyFont="1" applyFill="1" applyBorder="1" applyAlignment="1">
      <alignment horizontal="left" vertical="top" wrapText="1"/>
    </xf>
    <xf numFmtId="3" fontId="8" fillId="0" borderId="1" xfId="0" applyNumberFormat="1" applyFont="1" applyFill="1" applyBorder="1" applyAlignment="1">
      <alignment vertical="top" wrapText="1"/>
    </xf>
    <xf numFmtId="3" fontId="8" fillId="0" borderId="1" xfId="0" applyNumberFormat="1" applyFont="1" applyFill="1" applyBorder="1" applyAlignment="1">
      <alignment horizontal="center" vertical="top" wrapText="1"/>
    </xf>
    <xf numFmtId="0" fontId="6" fillId="5" borderId="3" xfId="0" applyFont="1" applyFill="1" applyBorder="1" applyAlignment="1">
      <alignment horizontal="center" wrapText="1"/>
    </xf>
    <xf numFmtId="0" fontId="6" fillId="5" borderId="4" xfId="0" applyFont="1" applyFill="1" applyBorder="1" applyAlignment="1">
      <alignment horizontal="center" wrapText="1"/>
    </xf>
    <xf numFmtId="0" fontId="6" fillId="5" borderId="5" xfId="0" applyFont="1" applyFill="1" applyBorder="1" applyAlignment="1">
      <alignment horizontal="center" wrapText="1"/>
    </xf>
    <xf numFmtId="0" fontId="8" fillId="5" borderId="3"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8" fillId="5" borderId="3" xfId="0" applyFont="1" applyFill="1" applyBorder="1" applyAlignment="1">
      <alignment horizontal="center" wrapText="1"/>
    </xf>
    <xf numFmtId="0" fontId="8" fillId="5" borderId="4" xfId="0" applyFont="1" applyFill="1" applyBorder="1" applyAlignment="1">
      <alignment horizontal="center" wrapText="1"/>
    </xf>
    <xf numFmtId="0" fontId="8" fillId="5" borderId="5" xfId="0" applyFont="1" applyFill="1" applyBorder="1" applyAlignment="1">
      <alignment horizontal="center" wrapText="1"/>
    </xf>
    <xf numFmtId="0" fontId="6" fillId="5" borderId="3" xfId="0" applyFont="1" applyFill="1" applyBorder="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5" borderId="3" xfId="0" applyFont="1" applyFill="1" applyBorder="1" applyAlignment="1">
      <alignment horizontal="left" wrapText="1"/>
    </xf>
    <xf numFmtId="0" fontId="6" fillId="5" borderId="4" xfId="0" applyFont="1" applyFill="1" applyBorder="1" applyAlignment="1">
      <alignment horizontal="left" wrapText="1"/>
    </xf>
    <xf numFmtId="0" fontId="6" fillId="5" borderId="5" xfId="0" applyFont="1" applyFill="1" applyBorder="1" applyAlignment="1">
      <alignment horizontal="left" wrapText="1"/>
    </xf>
    <xf numFmtId="0" fontId="6" fillId="5" borderId="1" xfId="0" applyFont="1" applyFill="1" applyBorder="1" applyAlignment="1"/>
    <xf numFmtId="0" fontId="21" fillId="5" borderId="0" xfId="0" applyFont="1" applyFill="1" applyAlignment="1">
      <alignment horizontal="left" vertical="center"/>
    </xf>
    <xf numFmtId="0" fontId="8" fillId="5" borderId="0" xfId="0" applyFont="1" applyFill="1" applyBorder="1" applyAlignment="1">
      <alignment horizontal="center" vertical="center" wrapText="1"/>
    </xf>
    <xf numFmtId="0" fontId="36" fillId="5" borderId="6" xfId="0" applyFont="1" applyFill="1" applyBorder="1" applyAlignment="1">
      <alignment horizontal="right"/>
    </xf>
    <xf numFmtId="0" fontId="18" fillId="5" borderId="3" xfId="0" applyFont="1" applyFill="1" applyBorder="1" applyAlignment="1">
      <alignment horizontal="left"/>
    </xf>
    <xf numFmtId="0" fontId="18" fillId="5" borderId="4" xfId="0" applyFont="1" applyFill="1" applyBorder="1" applyAlignment="1">
      <alignment horizontal="left"/>
    </xf>
    <xf numFmtId="0" fontId="18" fillId="5" borderId="5" xfId="0" applyFont="1" applyFill="1" applyBorder="1" applyAlignment="1">
      <alignment horizontal="left"/>
    </xf>
    <xf numFmtId="0" fontId="8" fillId="5" borderId="3" xfId="0" applyFont="1" applyFill="1" applyBorder="1" applyAlignment="1">
      <alignment horizontal="left" vertical="center" wrapText="1"/>
    </xf>
    <xf numFmtId="0" fontId="8" fillId="5" borderId="4" xfId="0" applyFont="1" applyFill="1" applyBorder="1" applyAlignment="1">
      <alignment horizontal="left" vertical="center" wrapText="1"/>
    </xf>
    <xf numFmtId="0" fontId="6" fillId="0" borderId="3" xfId="0" applyFont="1" applyFill="1" applyBorder="1" applyAlignment="1">
      <alignment horizontal="center" vertical="top" wrapText="1"/>
    </xf>
    <xf numFmtId="0" fontId="6" fillId="0" borderId="4" xfId="0" applyFont="1" applyFill="1" applyBorder="1" applyAlignment="1">
      <alignment horizontal="center" vertical="top" wrapText="1"/>
    </xf>
    <xf numFmtId="0" fontId="6" fillId="0" borderId="5" xfId="0" applyFont="1" applyFill="1" applyBorder="1" applyAlignment="1">
      <alignment horizontal="center" vertical="top" wrapText="1"/>
    </xf>
    <xf numFmtId="0" fontId="8" fillId="0" borderId="3" xfId="0" applyFont="1" applyFill="1" applyBorder="1" applyAlignment="1">
      <alignment horizontal="center" vertical="top" wrapText="1"/>
    </xf>
    <xf numFmtId="0" fontId="8" fillId="0" borderId="4" xfId="0" applyFont="1" applyFill="1" applyBorder="1" applyAlignment="1">
      <alignment horizontal="center" vertical="top" wrapText="1"/>
    </xf>
    <xf numFmtId="0" fontId="8" fillId="0" borderId="5" xfId="0" applyFont="1" applyFill="1" applyBorder="1" applyAlignment="1">
      <alignment horizontal="center" vertical="top" wrapText="1"/>
    </xf>
    <xf numFmtId="0" fontId="8" fillId="0" borderId="1" xfId="0" applyFont="1" applyFill="1" applyBorder="1" applyAlignment="1">
      <alignment vertical="top" wrapText="1"/>
    </xf>
    <xf numFmtId="0" fontId="6" fillId="0" borderId="1" xfId="0" applyFont="1" applyFill="1" applyBorder="1" applyAlignment="1">
      <alignment horizontal="center" vertical="top" wrapText="1"/>
    </xf>
    <xf numFmtId="0" fontId="6" fillId="0" borderId="1" xfId="0" applyFont="1" applyFill="1" applyBorder="1" applyAlignment="1">
      <alignment horizontal="justify" vertical="top" wrapText="1"/>
    </xf>
    <xf numFmtId="3" fontId="6" fillId="0" borderId="3" xfId="0" applyNumberFormat="1" applyFont="1" applyFill="1" applyBorder="1" applyAlignment="1">
      <alignment horizontal="center" vertical="top" wrapText="1"/>
    </xf>
    <xf numFmtId="3" fontId="6" fillId="0" borderId="5" xfId="0" applyNumberFormat="1" applyFont="1" applyFill="1" applyBorder="1" applyAlignment="1">
      <alignment horizontal="center" vertical="top" wrapText="1"/>
    </xf>
    <xf numFmtId="0" fontId="42" fillId="0" borderId="0" xfId="0" applyFont="1" applyAlignment="1">
      <alignment horizontal="left" vertical="center"/>
    </xf>
    <xf numFmtId="3" fontId="20" fillId="0" borderId="0" xfId="0" applyNumberFormat="1" applyFont="1" applyBorder="1" applyAlignment="1">
      <alignment vertical="top" wrapText="1"/>
    </xf>
    <xf numFmtId="165" fontId="4" fillId="0" borderId="0" xfId="3" applyFont="1" applyFill="1" applyBorder="1" applyAlignment="1">
      <alignment horizontal="left" vertical="center"/>
    </xf>
    <xf numFmtId="165" fontId="8" fillId="0" borderId="0" xfId="3" applyFont="1" applyFill="1" applyBorder="1" applyAlignment="1">
      <alignment horizontal="center" vertical="center" wrapText="1"/>
    </xf>
    <xf numFmtId="0" fontId="7" fillId="0" borderId="6" xfId="1" applyFont="1" applyFill="1" applyBorder="1" applyAlignment="1">
      <alignment horizontal="center" vertical="center" wrapText="1"/>
    </xf>
    <xf numFmtId="0" fontId="42" fillId="0" borderId="0" xfId="0" applyFont="1" applyBorder="1" applyAlignment="1">
      <alignment horizontal="left" vertical="center" wrapText="1"/>
    </xf>
  </cellXfs>
  <cellStyles count="6">
    <cellStyle name="Comma" xfId="2" builtinId="3"/>
    <cellStyle name="Comma 2" xfId="3"/>
    <cellStyle name="Comma 3" xfId="4"/>
    <cellStyle name="Comma 3 2" xfId="5"/>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16/DMKT/Nguyen%20gia%20DMKTKT%20(20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cu"/>
      <sheetName val="VL"/>
      <sheetName val="TB"/>
    </sheetNames>
    <sheetDataSet>
      <sheetData sheetId="0">
        <row r="3">
          <cell r="B3" t="str">
            <v xml:space="preserve">Acqui </v>
          </cell>
          <cell r="C3" t="str">
            <v>Cái</v>
          </cell>
          <cell r="D3">
            <v>18</v>
          </cell>
          <cell r="E3">
            <v>4000000</v>
          </cell>
          <cell r="F3">
            <v>3636363.6363636362</v>
          </cell>
        </row>
        <row r="4">
          <cell r="B4" t="str">
            <v>Áo blue</v>
          </cell>
          <cell r="C4" t="str">
            <v xml:space="preserve">cái </v>
          </cell>
          <cell r="D4">
            <v>12</v>
          </cell>
          <cell r="E4">
            <v>30000</v>
          </cell>
          <cell r="F4">
            <v>27272.727272727272</v>
          </cell>
        </row>
        <row r="5">
          <cell r="B5" t="str">
            <v>Áo phao</v>
          </cell>
          <cell r="C5" t="str">
            <v>cái</v>
          </cell>
          <cell r="D5">
            <v>24</v>
          </cell>
          <cell r="E5">
            <v>45000</v>
          </cell>
          <cell r="F5">
            <v>40909.090909090904</v>
          </cell>
        </row>
        <row r="6">
          <cell r="B6" t="str">
            <v>Áo phản quang</v>
          </cell>
          <cell r="C6" t="str">
            <v>cái</v>
          </cell>
          <cell r="D6">
            <v>6</v>
          </cell>
          <cell r="E6">
            <v>200000</v>
          </cell>
          <cell r="F6">
            <v>181818.18181818179</v>
          </cell>
        </row>
        <row r="7">
          <cell r="B7" t="str">
            <v>Bản đồ địa hình</v>
          </cell>
          <cell r="C7" t="str">
            <v>tờ</v>
          </cell>
          <cell r="D7">
            <v>3</v>
          </cell>
          <cell r="E7">
            <v>70000</v>
          </cell>
          <cell r="F7">
            <v>63636.363636363632</v>
          </cell>
        </row>
        <row r="8">
          <cell r="B8" t="str">
            <v>Bàn làm việc</v>
          </cell>
          <cell r="C8" t="str">
            <v xml:space="preserve">cái </v>
          </cell>
          <cell r="D8">
            <v>96</v>
          </cell>
          <cell r="E8">
            <v>300000</v>
          </cell>
          <cell r="F8">
            <v>272727.27272727271</v>
          </cell>
        </row>
        <row r="9">
          <cell r="B9" t="str">
            <v>Bàn lưu động</v>
          </cell>
          <cell r="C9" t="str">
            <v>cái</v>
          </cell>
          <cell r="D9">
            <v>60</v>
          </cell>
          <cell r="E9">
            <v>210000</v>
          </cell>
          <cell r="F9">
            <v>190909.09090909088</v>
          </cell>
        </row>
        <row r="10">
          <cell r="B10" t="str">
            <v>Bao đựng mẫu</v>
          </cell>
          <cell r="C10" t="str">
            <v>Cái</v>
          </cell>
          <cell r="D10">
            <v>1</v>
          </cell>
          <cell r="E10">
            <v>2000</v>
          </cell>
          <cell r="F10">
            <v>1818.181818181818</v>
          </cell>
        </row>
        <row r="11">
          <cell r="B11" t="str">
            <v>Bếp điện có điều chỉnh nhiệt độ</v>
          </cell>
          <cell r="C11" t="str">
            <v xml:space="preserve">cái </v>
          </cell>
          <cell r="D11">
            <v>36</v>
          </cell>
          <cell r="E11">
            <v>3000000</v>
          </cell>
          <cell r="F11">
            <v>2727272.7272727271</v>
          </cell>
        </row>
        <row r="12">
          <cell r="B12" t="str">
            <v>Bình chưng cất</v>
          </cell>
          <cell r="C12" t="str">
            <v xml:space="preserve">cái </v>
          </cell>
          <cell r="D12">
            <v>12</v>
          </cell>
          <cell r="E12">
            <v>2000000</v>
          </cell>
          <cell r="F12">
            <v>1818181.8181818181</v>
          </cell>
        </row>
        <row r="13">
          <cell r="B13" t="str">
            <v>Bình định mức 1000ml</v>
          </cell>
          <cell r="C13" t="str">
            <v>Cái</v>
          </cell>
          <cell r="D13">
            <v>12</v>
          </cell>
          <cell r="E13">
            <v>150000</v>
          </cell>
          <cell r="F13">
            <v>136363.63636363635</v>
          </cell>
        </row>
        <row r="14">
          <cell r="B14" t="str">
            <v>Bình định mức 100ml</v>
          </cell>
          <cell r="C14" t="str">
            <v xml:space="preserve">cái </v>
          </cell>
          <cell r="D14">
            <v>12</v>
          </cell>
          <cell r="E14">
            <v>88000</v>
          </cell>
          <cell r="F14">
            <v>80000</v>
          </cell>
        </row>
        <row r="15">
          <cell r="B15" t="str">
            <v>Bình định mức 150ml</v>
          </cell>
          <cell r="C15" t="str">
            <v>Cái</v>
          </cell>
          <cell r="D15">
            <v>12</v>
          </cell>
          <cell r="E15">
            <v>320000</v>
          </cell>
          <cell r="F15">
            <v>290909.09090909088</v>
          </cell>
        </row>
        <row r="16">
          <cell r="B16" t="str">
            <v>Bình định mức 250ml</v>
          </cell>
          <cell r="C16" t="str">
            <v>Cái</v>
          </cell>
          <cell r="D16">
            <v>12</v>
          </cell>
          <cell r="E16">
            <v>143000</v>
          </cell>
          <cell r="F16">
            <v>129999.99999999999</v>
          </cell>
        </row>
        <row r="17">
          <cell r="B17" t="str">
            <v>Bình định mức 25ml</v>
          </cell>
          <cell r="C17" t="str">
            <v xml:space="preserve">cái </v>
          </cell>
          <cell r="D17">
            <v>12</v>
          </cell>
          <cell r="E17">
            <v>170000</v>
          </cell>
          <cell r="F17">
            <v>154545.45454545453</v>
          </cell>
        </row>
        <row r="18">
          <cell r="B18" t="str">
            <v>Bình định mức 500ml</v>
          </cell>
          <cell r="C18" t="str">
            <v>Cái</v>
          </cell>
          <cell r="D18">
            <v>12</v>
          </cell>
          <cell r="E18">
            <v>121000</v>
          </cell>
          <cell r="F18">
            <v>109999.99999999999</v>
          </cell>
        </row>
        <row r="19">
          <cell r="B19" t="str">
            <v>Bình định mức 50ml</v>
          </cell>
          <cell r="C19" t="str">
            <v xml:space="preserve">cái </v>
          </cell>
          <cell r="D19">
            <v>12</v>
          </cell>
          <cell r="E19">
            <v>85000</v>
          </cell>
          <cell r="F19">
            <v>77272.727272727265</v>
          </cell>
        </row>
        <row r="20">
          <cell r="B20" t="str">
            <v>Bình định mức 560ml</v>
          </cell>
          <cell r="C20" t="str">
            <v>cái</v>
          </cell>
          <cell r="D20">
            <v>12</v>
          </cell>
          <cell r="E20">
            <v>470000</v>
          </cell>
          <cell r="F20">
            <v>427272.72727272724</v>
          </cell>
        </row>
        <row r="21">
          <cell r="B21" t="str">
            <v>Bình mẫu</v>
          </cell>
          <cell r="C21" t="str">
            <v>Cái</v>
          </cell>
          <cell r="D21">
            <v>36</v>
          </cell>
          <cell r="E21">
            <v>60000</v>
          </cell>
          <cell r="F21">
            <v>54545.454545454544</v>
          </cell>
        </row>
        <row r="22">
          <cell r="B22" t="str">
            <v>Bình nhỏ giọt</v>
          </cell>
          <cell r="C22" t="str">
            <v xml:space="preserve">cái </v>
          </cell>
          <cell r="D22">
            <v>36</v>
          </cell>
          <cell r="E22">
            <v>150000</v>
          </cell>
          <cell r="F22">
            <v>136363.63636363635</v>
          </cell>
        </row>
        <row r="23">
          <cell r="B23" t="str">
            <v>Bình nhựa 0,5 lít</v>
          </cell>
          <cell r="C23" t="str">
            <v xml:space="preserve">cái </v>
          </cell>
          <cell r="D23">
            <v>36</v>
          </cell>
          <cell r="E23">
            <v>110000</v>
          </cell>
          <cell r="F23">
            <v>99999.999999999985</v>
          </cell>
        </row>
        <row r="24">
          <cell r="B24" t="str">
            <v>Bình nhựa 2 lít</v>
          </cell>
          <cell r="C24" t="str">
            <v>Cái</v>
          </cell>
          <cell r="D24">
            <v>36</v>
          </cell>
          <cell r="E24">
            <v>340000</v>
          </cell>
          <cell r="F24">
            <v>309090.90909090906</v>
          </cell>
        </row>
        <row r="25">
          <cell r="B25" t="str">
            <v>Bình nhựa 5 lít</v>
          </cell>
          <cell r="C25" t="str">
            <v>Cái</v>
          </cell>
          <cell r="D25">
            <v>36</v>
          </cell>
          <cell r="E25">
            <v>700000</v>
          </cell>
          <cell r="F25">
            <v>636363.63636363635</v>
          </cell>
        </row>
        <row r="26">
          <cell r="B26" t="str">
            <v xml:space="preserve">Bình ngưng tụ </v>
          </cell>
          <cell r="C26" t="str">
            <v>Cái</v>
          </cell>
          <cell r="D26">
            <v>36</v>
          </cell>
          <cell r="E26">
            <v>5000000</v>
          </cell>
          <cell r="F26">
            <v>4545454.5454545449</v>
          </cell>
        </row>
        <row r="27">
          <cell r="B27" t="str">
            <v xml:space="preserve">Bộ ống nối </v>
          </cell>
          <cell r="C27" t="str">
            <v>cái</v>
          </cell>
          <cell r="D27">
            <v>36</v>
          </cell>
          <cell r="E27">
            <v>15000000</v>
          </cell>
          <cell r="F27">
            <v>13636363.636363635</v>
          </cell>
        </row>
        <row r="28">
          <cell r="B28" t="str">
            <v>Bình tam giác</v>
          </cell>
          <cell r="C28" t="str">
            <v>Cái</v>
          </cell>
          <cell r="D28">
            <v>12</v>
          </cell>
          <cell r="E28">
            <v>60000</v>
          </cell>
          <cell r="F28">
            <v>54545.454545454544</v>
          </cell>
        </row>
        <row r="29">
          <cell r="B29" t="str">
            <v>Bình tam giác 100ml</v>
          </cell>
          <cell r="C29" t="str">
            <v>cái</v>
          </cell>
          <cell r="D29">
            <v>12</v>
          </cell>
          <cell r="E29">
            <v>100000</v>
          </cell>
          <cell r="F29">
            <v>90909.090909090897</v>
          </cell>
        </row>
        <row r="30">
          <cell r="B30" t="str">
            <v>Bình tam giác 250ml</v>
          </cell>
          <cell r="C30" t="str">
            <v xml:space="preserve">cái </v>
          </cell>
          <cell r="D30">
            <v>12</v>
          </cell>
          <cell r="E30">
            <v>44000</v>
          </cell>
          <cell r="F30">
            <v>40000</v>
          </cell>
        </row>
        <row r="31">
          <cell r="B31" t="str">
            <v>Bình tam giác 25ml</v>
          </cell>
          <cell r="C31" t="str">
            <v>cái</v>
          </cell>
          <cell r="D31">
            <v>12</v>
          </cell>
          <cell r="E31">
            <v>50000</v>
          </cell>
          <cell r="F31">
            <v>45454.545454545449</v>
          </cell>
        </row>
        <row r="32">
          <cell r="B32" t="str">
            <v>Bình tam giác 500ml</v>
          </cell>
          <cell r="C32" t="str">
            <v>cái</v>
          </cell>
          <cell r="D32">
            <v>12</v>
          </cell>
          <cell r="E32">
            <v>140000</v>
          </cell>
          <cell r="F32">
            <v>127272.72727272726</v>
          </cell>
        </row>
        <row r="33">
          <cell r="B33" t="str">
            <v>Bình tam giác 50ml</v>
          </cell>
          <cell r="C33" t="str">
            <v>cái</v>
          </cell>
          <cell r="D33">
            <v>12</v>
          </cell>
          <cell r="E33">
            <v>60000</v>
          </cell>
          <cell r="F33">
            <v>54545.454545454544</v>
          </cell>
        </row>
        <row r="34">
          <cell r="B34" t="str">
            <v>Bình tam giác 1000ml</v>
          </cell>
          <cell r="C34" t="str">
            <v>cái</v>
          </cell>
          <cell r="D34">
            <v>12</v>
          </cell>
          <cell r="E34">
            <v>250000</v>
          </cell>
          <cell r="F34">
            <v>227272.72727272726</v>
          </cell>
        </row>
        <row r="35">
          <cell r="B35" t="str">
            <v>Bình tia</v>
          </cell>
          <cell r="C35" t="str">
            <v>cái</v>
          </cell>
          <cell r="D35">
            <v>36</v>
          </cell>
          <cell r="E35">
            <v>110000</v>
          </cell>
          <cell r="F35">
            <v>99999.999999999985</v>
          </cell>
        </row>
        <row r="36">
          <cell r="B36" t="str">
            <v>Bình thủy tinh 1000ml</v>
          </cell>
          <cell r="C36" t="str">
            <v>Cái</v>
          </cell>
          <cell r="D36">
            <v>12</v>
          </cell>
          <cell r="E36">
            <v>180000</v>
          </cell>
          <cell r="F36">
            <v>163636.36363636362</v>
          </cell>
        </row>
        <row r="37">
          <cell r="B37" t="str">
            <v>Bình thủy tinh 250ml</v>
          </cell>
          <cell r="C37" t="str">
            <v>Cái</v>
          </cell>
          <cell r="D37">
            <v>12</v>
          </cell>
          <cell r="E37">
            <v>120000</v>
          </cell>
          <cell r="F37">
            <v>109090.90909090909</v>
          </cell>
        </row>
        <row r="38">
          <cell r="B38" t="str">
            <v>Bình thủy tinh trung tính</v>
          </cell>
          <cell r="C38" t="str">
            <v>Cái</v>
          </cell>
          <cell r="D38">
            <v>12</v>
          </cell>
          <cell r="E38">
            <v>155000</v>
          </cell>
          <cell r="F38">
            <v>140909.09090909091</v>
          </cell>
        </row>
        <row r="39">
          <cell r="B39" t="str">
            <v xml:space="preserve">Bình thủy tinh đựng mẫu </v>
          </cell>
          <cell r="C39" t="str">
            <v>cái</v>
          </cell>
          <cell r="D39">
            <v>12</v>
          </cell>
          <cell r="E39">
            <v>200000</v>
          </cell>
          <cell r="F39">
            <v>181818.18181818179</v>
          </cell>
        </row>
        <row r="40">
          <cell r="B40" t="str">
            <v>Bình chứa dung dịch thu hồi</v>
          </cell>
          <cell r="C40" t="str">
            <v>Cái</v>
          </cell>
          <cell r="D40">
            <v>12</v>
          </cell>
          <cell r="E40">
            <v>5000000</v>
          </cell>
          <cell r="F40">
            <v>4545454.5454545449</v>
          </cell>
        </row>
        <row r="41">
          <cell r="B41" t="str">
            <v xml:space="preserve"> Bộ làm sạch sensor</v>
          </cell>
          <cell r="C41" t="str">
            <v>Bộ</v>
          </cell>
          <cell r="D41">
            <v>6</v>
          </cell>
          <cell r="E41">
            <v>20000000</v>
          </cell>
          <cell r="F41">
            <v>18181818.18181818</v>
          </cell>
        </row>
        <row r="42">
          <cell r="B42" t="str">
            <v>Bộ lưu giữ dung dịch hấp thụ</v>
          </cell>
          <cell r="C42" t="str">
            <v>Cái</v>
          </cell>
          <cell r="D42">
            <v>12</v>
          </cell>
          <cell r="E42">
            <v>10000000</v>
          </cell>
          <cell r="F42">
            <v>9090909.0909090899</v>
          </cell>
        </row>
        <row r="43">
          <cell r="B43" t="str">
            <v xml:space="preserve">Bộ lọc bụi </v>
          </cell>
          <cell r="C43" t="str">
            <v>Bộ</v>
          </cell>
          <cell r="D43">
            <v>6</v>
          </cell>
          <cell r="E43">
            <v>9500000</v>
          </cell>
          <cell r="F43">
            <v>8636363.6363636348</v>
          </cell>
        </row>
        <row r="44">
          <cell r="B44" t="str">
            <v>Bộ lưu giữ filter</v>
          </cell>
          <cell r="C44" t="str">
            <v>Bộ</v>
          </cell>
          <cell r="D44">
            <v>60</v>
          </cell>
          <cell r="E44">
            <v>25000000</v>
          </cell>
          <cell r="F44">
            <v>22727272.727272727</v>
          </cell>
        </row>
        <row r="45">
          <cell r="B45" t="str">
            <v>Bộ dụng cụ thu hồi mẫu</v>
          </cell>
          <cell r="C45" t="str">
            <v>bộ</v>
          </cell>
          <cell r="D45">
            <v>18</v>
          </cell>
          <cell r="E45">
            <v>10000000</v>
          </cell>
          <cell r="F45">
            <v>9090909.0909090899</v>
          </cell>
        </row>
        <row r="46">
          <cell r="B46" t="str">
            <v>Bộ lọc khí lưu huỳnh</v>
          </cell>
          <cell r="C46" t="str">
            <v>Bộ</v>
          </cell>
          <cell r="D46">
            <v>6</v>
          </cell>
          <cell r="E46">
            <v>3000000</v>
          </cell>
          <cell r="F46">
            <v>2727272.7272727271</v>
          </cell>
        </row>
        <row r="47">
          <cell r="B47" t="str">
            <v xml:space="preserve">Bộ lọc khí lưu huỳnh </v>
          </cell>
          <cell r="C47" t="str">
            <v>Bộ</v>
          </cell>
          <cell r="D47">
            <v>6</v>
          </cell>
          <cell r="E47">
            <v>3000000</v>
          </cell>
          <cell r="F47">
            <v>2727272.7272727271</v>
          </cell>
        </row>
        <row r="48">
          <cell r="B48" t="str">
            <v>Bộ lọc bụi</v>
          </cell>
          <cell r="C48" t="str">
            <v>bộ</v>
          </cell>
          <cell r="D48">
            <v>6</v>
          </cell>
          <cell r="E48">
            <v>9500000</v>
          </cell>
          <cell r="F48">
            <v>8636363.6363636348</v>
          </cell>
        </row>
        <row r="49">
          <cell r="B49" t="str">
            <v>Bộ sục khí</v>
          </cell>
          <cell r="C49" t="str">
            <v>bộ</v>
          </cell>
          <cell r="D49">
            <v>24</v>
          </cell>
          <cell r="E49">
            <v>3000000</v>
          </cell>
          <cell r="F49">
            <v>2727272.7272727271</v>
          </cell>
        </row>
        <row r="50">
          <cell r="B50" t="str">
            <v>Bộ dây nối</v>
          </cell>
          <cell r="C50" t="str">
            <v>Bộ</v>
          </cell>
          <cell r="D50">
            <v>12</v>
          </cell>
          <cell r="E50">
            <v>40000000</v>
          </cell>
          <cell r="F50">
            <v>36363636.36363636</v>
          </cell>
        </row>
        <row r="51">
          <cell r="B51" t="str">
            <v>Bộ ống hấp thụ</v>
          </cell>
          <cell r="C51" t="str">
            <v>Bộ</v>
          </cell>
          <cell r="D51">
            <v>12</v>
          </cell>
          <cell r="E51">
            <v>20000000</v>
          </cell>
          <cell r="F51">
            <v>18181818.18181818</v>
          </cell>
        </row>
        <row r="52">
          <cell r="B52" t="str">
            <v>Bộ lọc tạp chất cản trở</v>
          </cell>
          <cell r="C52" t="str">
            <v>bộ</v>
          </cell>
          <cell r="D52">
            <v>6</v>
          </cell>
          <cell r="E52">
            <v>3000000</v>
          </cell>
          <cell r="F52">
            <v>2727272.7272727271</v>
          </cell>
        </row>
        <row r="53">
          <cell r="B53" t="str">
            <v>Bông</v>
          </cell>
          <cell r="C53" t="str">
            <v>Kg</v>
          </cell>
          <cell r="D53">
            <v>0</v>
          </cell>
          <cell r="E53">
            <v>210000</v>
          </cell>
          <cell r="F53">
            <v>190909.09090909088</v>
          </cell>
        </row>
        <row r="54">
          <cell r="B54" t="str">
            <v>Bông thủy tinh</v>
          </cell>
          <cell r="C54" t="str">
            <v xml:space="preserve">chiếc </v>
          </cell>
          <cell r="E54">
            <v>2400000</v>
          </cell>
          <cell r="F54">
            <v>2181818.1818181816</v>
          </cell>
        </row>
        <row r="55">
          <cell r="B55" t="str">
            <v>Bơm khí H2 cho máy GC</v>
          </cell>
          <cell r="C55" t="str">
            <v xml:space="preserve">cái </v>
          </cell>
          <cell r="D55">
            <v>32</v>
          </cell>
          <cell r="E55">
            <v>9500000</v>
          </cell>
          <cell r="F55">
            <v>8636363.6363636348</v>
          </cell>
        </row>
        <row r="56">
          <cell r="B56" t="str">
            <v>Bơm khí N2 cho máy GC</v>
          </cell>
          <cell r="C56" t="str">
            <v xml:space="preserve">cái </v>
          </cell>
          <cell r="D56">
            <v>32</v>
          </cell>
          <cell r="E56">
            <v>24970000</v>
          </cell>
          <cell r="F56">
            <v>22700000</v>
          </cell>
        </row>
        <row r="57">
          <cell r="B57" t="str">
            <v>Buret 1ml</v>
          </cell>
          <cell r="C57" t="str">
            <v>Cái</v>
          </cell>
          <cell r="D57">
            <v>12</v>
          </cell>
          <cell r="E57">
            <v>11700000</v>
          </cell>
          <cell r="F57">
            <v>10636363.636363635</v>
          </cell>
        </row>
        <row r="58">
          <cell r="B58" t="str">
            <v>Buret chuẩn độ</v>
          </cell>
          <cell r="C58" t="str">
            <v>cái</v>
          </cell>
          <cell r="D58">
            <v>12</v>
          </cell>
          <cell r="E58">
            <v>4900000</v>
          </cell>
          <cell r="F58">
            <v>4454545.4545454541</v>
          </cell>
        </row>
        <row r="59">
          <cell r="B59" t="str">
            <v>Burret chuẩn độ tự động</v>
          </cell>
          <cell r="C59" t="str">
            <v>cái</v>
          </cell>
          <cell r="D59">
            <v>12</v>
          </cell>
          <cell r="E59">
            <v>4900000</v>
          </cell>
          <cell r="F59">
            <v>4454545.4545454541</v>
          </cell>
        </row>
        <row r="60">
          <cell r="B60" t="str">
            <v>Cái lọc</v>
          </cell>
          <cell r="C60" t="str">
            <v xml:space="preserve">cái </v>
          </cell>
          <cell r="D60">
            <v>1</v>
          </cell>
          <cell r="E60">
            <v>150000</v>
          </cell>
          <cell r="F60">
            <v>136363.63636363635</v>
          </cell>
        </row>
        <row r="61">
          <cell r="B61" t="str">
            <v>Can nhựa</v>
          </cell>
          <cell r="C61" t="str">
            <v>cái</v>
          </cell>
          <cell r="D61">
            <v>36</v>
          </cell>
          <cell r="E61">
            <v>50000</v>
          </cell>
          <cell r="F61">
            <v>45454.545454545449</v>
          </cell>
        </row>
        <row r="62">
          <cell r="B62" t="str">
            <v>Cell đo phổ</v>
          </cell>
          <cell r="C62" t="str">
            <v>cái</v>
          </cell>
          <cell r="D62">
            <v>12</v>
          </cell>
          <cell r="E62">
            <v>1600000</v>
          </cell>
          <cell r="F62">
            <v>1454545.4545454544</v>
          </cell>
        </row>
        <row r="63">
          <cell r="B63" t="str">
            <v>COD, BOD5</v>
          </cell>
          <cell r="C63">
            <v>0</v>
          </cell>
          <cell r="D63">
            <v>12</v>
          </cell>
          <cell r="E63">
            <v>6000000</v>
          </cell>
          <cell r="F63">
            <v>5454545.4545454541</v>
          </cell>
        </row>
        <row r="64">
          <cell r="B64" t="str">
            <v>Cốc đo</v>
          </cell>
          <cell r="C64" t="str">
            <v>cái</v>
          </cell>
          <cell r="D64">
            <v>36</v>
          </cell>
          <cell r="E64">
            <v>350000</v>
          </cell>
          <cell r="F64">
            <v>318181.81818181818</v>
          </cell>
        </row>
        <row r="65">
          <cell r="B65" t="str">
            <v>Cốc nung (sứ, 30ml)</v>
          </cell>
          <cell r="C65" t="str">
            <v xml:space="preserve">cái </v>
          </cell>
          <cell r="D65">
            <v>6</v>
          </cell>
          <cell r="E65">
            <v>30000</v>
          </cell>
          <cell r="F65">
            <v>27272.727272727272</v>
          </cell>
        </row>
        <row r="66">
          <cell r="B66" t="str">
            <v>Cốc nhựa</v>
          </cell>
          <cell r="C66" t="str">
            <v>cái</v>
          </cell>
          <cell r="D66">
            <v>36</v>
          </cell>
          <cell r="E66">
            <v>80000</v>
          </cell>
          <cell r="F66">
            <v>72727.272727272721</v>
          </cell>
        </row>
        <row r="67">
          <cell r="B67" t="str">
            <v>Cốc thủy tinh</v>
          </cell>
          <cell r="C67" t="str">
            <v>cái</v>
          </cell>
          <cell r="D67">
            <v>12</v>
          </cell>
          <cell r="E67">
            <v>75000</v>
          </cell>
          <cell r="F67">
            <v>68181.818181818177</v>
          </cell>
        </row>
        <row r="68">
          <cell r="B68" t="str">
            <v>Cốc thủy tinh 1000ml</v>
          </cell>
          <cell r="C68" t="str">
            <v>cái</v>
          </cell>
          <cell r="D68">
            <v>12</v>
          </cell>
          <cell r="E68">
            <v>140000</v>
          </cell>
          <cell r="F68">
            <v>127272.72727272726</v>
          </cell>
        </row>
        <row r="69">
          <cell r="B69" t="str">
            <v>Cốc thủy tinh 250ml</v>
          </cell>
          <cell r="C69" t="str">
            <v xml:space="preserve">cái </v>
          </cell>
          <cell r="D69">
            <v>12</v>
          </cell>
          <cell r="E69">
            <v>90000</v>
          </cell>
          <cell r="F69">
            <v>81818.181818181809</v>
          </cell>
        </row>
        <row r="70">
          <cell r="B70" t="str">
            <v>Cốc thủy tinh 50ml</v>
          </cell>
          <cell r="C70" t="str">
            <v>cái</v>
          </cell>
          <cell r="D70">
            <v>12</v>
          </cell>
          <cell r="E70">
            <v>80000</v>
          </cell>
          <cell r="F70">
            <v>72727.272727272721</v>
          </cell>
        </row>
        <row r="71">
          <cell r="B71" t="str">
            <v>Cột sắc ký</v>
          </cell>
          <cell r="C71" t="str">
            <v>Cái</v>
          </cell>
          <cell r="D71">
            <v>12</v>
          </cell>
          <cell r="E71">
            <v>40000000</v>
          </cell>
          <cell r="F71">
            <v>36363636.36363636</v>
          </cell>
        </row>
        <row r="72">
          <cell r="B72" t="str">
            <v>Cột sắc ký thủy tinh</v>
          </cell>
          <cell r="C72" t="str">
            <v>Cái</v>
          </cell>
          <cell r="D72">
            <v>12</v>
          </cell>
          <cell r="E72">
            <v>1900000</v>
          </cell>
          <cell r="F72">
            <v>1727272.7272727271</v>
          </cell>
        </row>
        <row r="73">
          <cell r="B73" t="str">
            <v>Cột sắc ký trao đổi ion</v>
          </cell>
          <cell r="C73" t="str">
            <v>cái</v>
          </cell>
          <cell r="D73">
            <v>12</v>
          </cell>
          <cell r="E73">
            <v>27000000</v>
          </cell>
          <cell r="F73">
            <v>24545454.545454543</v>
          </cell>
        </row>
        <row r="74">
          <cell r="B74" t="str">
            <v>Cột tách</v>
          </cell>
          <cell r="C74" t="str">
            <v xml:space="preserve">cái </v>
          </cell>
          <cell r="D74">
            <v>12</v>
          </cell>
          <cell r="E74">
            <v>1800000</v>
          </cell>
          <cell r="F74">
            <v>1636363.6363636362</v>
          </cell>
        </row>
        <row r="75">
          <cell r="B75" t="str">
            <v>Cột tách cho anion</v>
          </cell>
          <cell r="C75" t="str">
            <v>cái</v>
          </cell>
          <cell r="D75">
            <v>12</v>
          </cell>
          <cell r="E75">
            <v>37500000</v>
          </cell>
          <cell r="F75">
            <v>34090909.090909086</v>
          </cell>
        </row>
        <row r="76">
          <cell r="B76" t="str">
            <v>Cột tách mao quản</v>
          </cell>
          <cell r="C76" t="str">
            <v>Cái</v>
          </cell>
          <cell r="D76">
            <v>12</v>
          </cell>
          <cell r="E76">
            <v>27000000</v>
          </cell>
          <cell r="F76">
            <v>24545454.545454543</v>
          </cell>
        </row>
        <row r="77">
          <cell r="B77" t="str">
            <v>Cuốc lấy mẫu Peterxen 5,000 cm3</v>
          </cell>
          <cell r="C77" t="str">
            <v>cái</v>
          </cell>
          <cell r="D77">
            <v>36</v>
          </cell>
          <cell r="E77">
            <v>1300000</v>
          </cell>
          <cell r="F77">
            <v>1181818.1818181816</v>
          </cell>
        </row>
        <row r="78">
          <cell r="B78" t="str">
            <v>Cuvet 1cm</v>
          </cell>
          <cell r="C78" t="str">
            <v>cái</v>
          </cell>
          <cell r="D78">
            <v>12</v>
          </cell>
          <cell r="E78">
            <v>1600000</v>
          </cell>
          <cell r="F78">
            <v>1454545.4545454544</v>
          </cell>
        </row>
        <row r="79">
          <cell r="B79" t="str">
            <v>Cuvet Graphit</v>
          </cell>
          <cell r="C79" t="str">
            <v>cái</v>
          </cell>
          <cell r="D79">
            <v>6</v>
          </cell>
          <cell r="E79">
            <v>5000000</v>
          </cell>
          <cell r="F79">
            <v>4545454.5454545449</v>
          </cell>
        </row>
        <row r="80">
          <cell r="B80" t="str">
            <v>Cuvet thạch anh cho FIAS</v>
          </cell>
          <cell r="C80" t="str">
            <v>cái</v>
          </cell>
          <cell r="D80">
            <v>12</v>
          </cell>
          <cell r="E80">
            <v>35000000</v>
          </cell>
          <cell r="F80">
            <v>31818181.818181816</v>
          </cell>
        </row>
        <row r="81">
          <cell r="B81" t="str">
            <v>Chai bảo quản dung dịch</v>
          </cell>
          <cell r="C81" t="str">
            <v>cái</v>
          </cell>
          <cell r="D81">
            <v>12</v>
          </cell>
          <cell r="E81">
            <v>30000</v>
          </cell>
          <cell r="F81">
            <v>27272.727272727272</v>
          </cell>
        </row>
        <row r="82">
          <cell r="B82" t="str">
            <v>Chai BOD</v>
          </cell>
          <cell r="C82" t="str">
            <v>cái</v>
          </cell>
          <cell r="D82">
            <v>12</v>
          </cell>
          <cell r="E82">
            <v>600000</v>
          </cell>
          <cell r="F82">
            <v>545454.54545454541</v>
          </cell>
        </row>
        <row r="83">
          <cell r="B83" t="str">
            <v>Chai CO</v>
          </cell>
          <cell r="C83" t="str">
            <v xml:space="preserve">cái </v>
          </cell>
          <cell r="D83">
            <v>12</v>
          </cell>
          <cell r="E83">
            <v>30000</v>
          </cell>
          <cell r="F83">
            <v>27272.727272727272</v>
          </cell>
        </row>
        <row r="84">
          <cell r="B84" t="str">
            <v>Chai CO2</v>
          </cell>
          <cell r="C84" t="str">
            <v xml:space="preserve">cái </v>
          </cell>
          <cell r="D84">
            <v>12</v>
          </cell>
          <cell r="E84">
            <v>30000</v>
          </cell>
          <cell r="F84">
            <v>27272.727272727272</v>
          </cell>
        </row>
        <row r="85">
          <cell r="B85" t="str">
            <v>Chai chứa mẫu 100ml</v>
          </cell>
          <cell r="C85" t="str">
            <v xml:space="preserve">cái </v>
          </cell>
          <cell r="D85">
            <v>12</v>
          </cell>
          <cell r="E85">
            <v>120000</v>
          </cell>
          <cell r="F85">
            <v>109090.90909090909</v>
          </cell>
        </row>
        <row r="86">
          <cell r="B86" t="str">
            <v>Chai đựng mẫu</v>
          </cell>
          <cell r="C86">
            <v>0</v>
          </cell>
          <cell r="D86">
            <v>12</v>
          </cell>
          <cell r="E86">
            <v>80000</v>
          </cell>
          <cell r="F86">
            <v>72727.272727272721</v>
          </cell>
        </row>
        <row r="87">
          <cell r="B87" t="str">
            <v>Chai đựng hóa chất</v>
          </cell>
          <cell r="C87" t="str">
            <v xml:space="preserve">cái </v>
          </cell>
          <cell r="D87">
            <v>12</v>
          </cell>
          <cell r="E87">
            <v>100000</v>
          </cell>
          <cell r="F87">
            <v>90909.090909090897</v>
          </cell>
        </row>
        <row r="88">
          <cell r="B88" t="str">
            <v>Chai đựng mẫu vi sinh</v>
          </cell>
          <cell r="C88" t="str">
            <v>caid</v>
          </cell>
          <cell r="D88">
            <v>12</v>
          </cell>
          <cell r="E88">
            <v>200000</v>
          </cell>
          <cell r="F88">
            <v>181818.18181818179</v>
          </cell>
        </row>
        <row r="89">
          <cell r="B89" t="str">
            <v>Chai đựng nước cất</v>
          </cell>
          <cell r="C89" t="str">
            <v>Cái</v>
          </cell>
          <cell r="D89">
            <v>12</v>
          </cell>
          <cell r="E89">
            <v>80000</v>
          </cell>
          <cell r="F89">
            <v>72727.272727272721</v>
          </cell>
        </row>
        <row r="90">
          <cell r="B90" t="str">
            <v>Chai NO</v>
          </cell>
          <cell r="C90" t="str">
            <v xml:space="preserve">cái </v>
          </cell>
          <cell r="D90">
            <v>12</v>
          </cell>
          <cell r="E90">
            <v>500000</v>
          </cell>
          <cell r="F90">
            <v>454545.45454545453</v>
          </cell>
        </row>
        <row r="91">
          <cell r="B91" t="str">
            <v>Chai ninh</v>
          </cell>
          <cell r="C91" t="str">
            <v>Cái</v>
          </cell>
          <cell r="D91">
            <v>12</v>
          </cell>
          <cell r="E91">
            <v>500000</v>
          </cell>
          <cell r="F91">
            <v>454545.45454545453</v>
          </cell>
        </row>
        <row r="92">
          <cell r="B92" t="str">
            <v>Chai NO2</v>
          </cell>
          <cell r="C92" t="str">
            <v>cái</v>
          </cell>
          <cell r="D92">
            <v>12</v>
          </cell>
          <cell r="E92">
            <v>25000</v>
          </cell>
          <cell r="F92">
            <v>22727.272727272724</v>
          </cell>
        </row>
        <row r="93">
          <cell r="B93" t="str">
            <v>Chai nhựa 0,5 lít</v>
          </cell>
          <cell r="C93" t="str">
            <v xml:space="preserve">cái </v>
          </cell>
          <cell r="D93">
            <v>36</v>
          </cell>
          <cell r="E93">
            <v>60000</v>
          </cell>
          <cell r="F93">
            <v>54545.454545454544</v>
          </cell>
        </row>
        <row r="94">
          <cell r="B94" t="str">
            <v>Chai O3</v>
          </cell>
          <cell r="C94" t="str">
            <v>cái</v>
          </cell>
          <cell r="D94">
            <v>12</v>
          </cell>
          <cell r="E94">
            <v>500000</v>
          </cell>
          <cell r="F94">
            <v>454545.45454545453</v>
          </cell>
        </row>
        <row r="95">
          <cell r="B95" t="str">
            <v>Chai SO2</v>
          </cell>
          <cell r="C95" t="str">
            <v>cái</v>
          </cell>
          <cell r="D95">
            <v>12</v>
          </cell>
          <cell r="E95">
            <v>25000</v>
          </cell>
          <cell r="F95">
            <v>22727.272727272724</v>
          </cell>
        </row>
        <row r="96">
          <cell r="B96" t="str">
            <v>Chuẩn độ Microburet</v>
          </cell>
          <cell r="C96" t="str">
            <v>cái</v>
          </cell>
          <cell r="D96">
            <v>12</v>
          </cell>
          <cell r="E96">
            <v>800000</v>
          </cell>
          <cell r="F96">
            <v>727272.72727272718</v>
          </cell>
        </row>
        <row r="97">
          <cell r="B97" t="str">
            <v>Chụp đầu đo</v>
          </cell>
          <cell r="C97" t="str">
            <v>cái</v>
          </cell>
          <cell r="D97">
            <v>3</v>
          </cell>
          <cell r="E97">
            <v>100000</v>
          </cell>
          <cell r="F97">
            <v>90909.090909090897</v>
          </cell>
        </row>
        <row r="98">
          <cell r="B98" t="str">
            <v>Dây điện đôi dài 50m</v>
          </cell>
          <cell r="C98" t="str">
            <v>dây</v>
          </cell>
          <cell r="D98">
            <v>36</v>
          </cell>
          <cell r="E98">
            <v>300000</v>
          </cell>
          <cell r="F98">
            <v>272727.27272727271</v>
          </cell>
        </row>
        <row r="99">
          <cell r="B99" t="str">
            <v>Đai bảo hiểm</v>
          </cell>
          <cell r="C99" t="str">
            <v>dây</v>
          </cell>
          <cell r="D99">
            <v>6</v>
          </cell>
          <cell r="E99">
            <v>1000000</v>
          </cell>
          <cell r="F99">
            <v>909090.90909090906</v>
          </cell>
        </row>
        <row r="100">
          <cell r="B100" t="str">
            <v>Đĩa petri</v>
          </cell>
          <cell r="C100" t="str">
            <v>cái</v>
          </cell>
          <cell r="D100">
            <v>1</v>
          </cell>
          <cell r="E100">
            <v>3000</v>
          </cell>
          <cell r="F100">
            <v>2727.272727272727</v>
          </cell>
        </row>
        <row r="101">
          <cell r="B101" t="str">
            <v>Dép xốp</v>
          </cell>
          <cell r="C101" t="str">
            <v xml:space="preserve">đôi </v>
          </cell>
          <cell r="D101">
            <v>6</v>
          </cell>
          <cell r="E101">
            <v>25000</v>
          </cell>
          <cell r="F101">
            <v>22727.272727272724</v>
          </cell>
        </row>
        <row r="102">
          <cell r="B102" t="str">
            <v>Detector vết</v>
          </cell>
          <cell r="C102" t="str">
            <v>cái</v>
          </cell>
          <cell r="D102" t="str">
            <v>1 lần</v>
          </cell>
          <cell r="E102">
            <v>200000</v>
          </cell>
          <cell r="F102">
            <v>181818.18181818179</v>
          </cell>
        </row>
        <row r="103">
          <cell r="B103" t="str">
            <v>Đầu cone 0,1ml</v>
          </cell>
          <cell r="C103" t="str">
            <v>Cái</v>
          </cell>
          <cell r="D103">
            <v>1</v>
          </cell>
          <cell r="E103">
            <v>3000</v>
          </cell>
          <cell r="F103">
            <v>2727.272727272727</v>
          </cell>
        </row>
        <row r="104">
          <cell r="B104" t="str">
            <v>Đầu cone 1ml</v>
          </cell>
          <cell r="C104" t="str">
            <v xml:space="preserve">cái </v>
          </cell>
          <cell r="D104">
            <v>1</v>
          </cell>
          <cell r="E104">
            <v>3000</v>
          </cell>
          <cell r="F104">
            <v>2727.272727272727</v>
          </cell>
        </row>
        <row r="105">
          <cell r="B105" t="str">
            <v>Đầu cone 4ml</v>
          </cell>
          <cell r="C105" t="str">
            <v>Cái</v>
          </cell>
          <cell r="D105">
            <v>1</v>
          </cell>
          <cell r="E105">
            <v>3000</v>
          </cell>
          <cell r="F105">
            <v>2727.272727272727</v>
          </cell>
        </row>
        <row r="106">
          <cell r="B106" t="str">
            <v>Đầu cone 5ml</v>
          </cell>
          <cell r="C106" t="str">
            <v xml:space="preserve">cái </v>
          </cell>
          <cell r="D106">
            <v>1</v>
          </cell>
          <cell r="E106">
            <v>3000</v>
          </cell>
          <cell r="F106">
            <v>2727.272727272727</v>
          </cell>
        </row>
        <row r="107">
          <cell r="B107" t="str">
            <v>Đầu điện cực</v>
          </cell>
          <cell r="C107" t="str">
            <v>cái</v>
          </cell>
          <cell r="D107">
            <v>6</v>
          </cell>
          <cell r="E107">
            <v>12000000</v>
          </cell>
          <cell r="F107">
            <v>10909090.909090908</v>
          </cell>
        </row>
        <row r="108">
          <cell r="B108" t="str">
            <v>Đầu đo sensor</v>
          </cell>
          <cell r="C108" t="str">
            <v>Cái</v>
          </cell>
          <cell r="D108">
            <v>6</v>
          </cell>
          <cell r="E108">
            <v>35000000</v>
          </cell>
          <cell r="F108">
            <v>31818181.818181816</v>
          </cell>
        </row>
        <row r="109">
          <cell r="B109" t="str">
            <v>Đầu đo Nozzles</v>
          </cell>
          <cell r="C109" t="str">
            <v>Cái</v>
          </cell>
          <cell r="D109">
            <v>12</v>
          </cell>
          <cell r="E109">
            <v>1000000</v>
          </cell>
          <cell r="F109">
            <v>909090.90909090906</v>
          </cell>
        </row>
        <row r="110">
          <cell r="B110" t="str">
            <v>Đèn sạc điện</v>
          </cell>
          <cell r="C110" t="str">
            <v>caái</v>
          </cell>
          <cell r="D110">
            <v>36</v>
          </cell>
          <cell r="E110">
            <v>230000</v>
          </cell>
          <cell r="F110">
            <v>209090.90909090909</v>
          </cell>
        </row>
        <row r="111">
          <cell r="B111" t="str">
            <v>Cặp đựng tài liệu</v>
          </cell>
          <cell r="D111">
            <v>24</v>
          </cell>
          <cell r="E111">
            <v>15000</v>
          </cell>
          <cell r="F111">
            <v>13636.363636363636</v>
          </cell>
        </row>
        <row r="112">
          <cell r="B112" t="str">
            <v>Quần áo mưa</v>
          </cell>
          <cell r="C112" t="str">
            <v>bộ</v>
          </cell>
          <cell r="D112">
            <v>12</v>
          </cell>
          <cell r="E112">
            <v>120000</v>
          </cell>
          <cell r="F112">
            <v>109090.90909090909</v>
          </cell>
        </row>
        <row r="113">
          <cell r="B113" t="str">
            <v>Đèn hiệu</v>
          </cell>
          <cell r="C113">
            <v>0</v>
          </cell>
          <cell r="D113">
            <v>24</v>
          </cell>
          <cell r="E113">
            <v>2500000</v>
          </cell>
          <cell r="F113">
            <v>2272727.2727272725</v>
          </cell>
        </row>
        <row r="114">
          <cell r="B114" t="str">
            <v>Bình cứu hỏa</v>
          </cell>
          <cell r="D114">
            <v>24</v>
          </cell>
          <cell r="E114">
            <v>370000</v>
          </cell>
          <cell r="F114">
            <v>336363.63636363635</v>
          </cell>
        </row>
        <row r="115">
          <cell r="B115" t="str">
            <v>Ổn áp</v>
          </cell>
          <cell r="D115">
            <v>96</v>
          </cell>
          <cell r="E115">
            <v>970000</v>
          </cell>
          <cell r="F115">
            <v>881818.18181818177</v>
          </cell>
        </row>
        <row r="116">
          <cell r="B116" t="str">
            <v>Bộ lưu điện 6KVA</v>
          </cell>
          <cell r="D116">
            <v>60</v>
          </cell>
          <cell r="E116">
            <v>50000000</v>
          </cell>
          <cell r="F116">
            <v>45454545.454545453</v>
          </cell>
        </row>
        <row r="117">
          <cell r="B117" t="str">
            <v>Kính bảo vệ</v>
          </cell>
          <cell r="D117">
            <v>12</v>
          </cell>
          <cell r="E117">
            <v>30000</v>
          </cell>
          <cell r="F117">
            <v>27272.727272727272</v>
          </cell>
        </row>
        <row r="118">
          <cell r="B118" t="str">
            <v>Thang (3m)</v>
          </cell>
          <cell r="D118">
            <v>36</v>
          </cell>
          <cell r="E118">
            <v>1500000</v>
          </cell>
          <cell r="F118">
            <v>1363636.3636363635</v>
          </cell>
        </row>
        <row r="119">
          <cell r="B119" t="str">
            <v xml:space="preserve"> Bộ làm sạch sensor</v>
          </cell>
          <cell r="C119" t="str">
            <v>Bộ</v>
          </cell>
          <cell r="D119">
            <v>6</v>
          </cell>
          <cell r="E119">
            <v>20000000</v>
          </cell>
          <cell r="F119">
            <v>18181818.18181818</v>
          </cell>
        </row>
        <row r="120">
          <cell r="B120" t="str">
            <v>Bộ dụng cụ để bảo dưỡng, thao tác trong quá trình vận hành</v>
          </cell>
          <cell r="C120" t="str">
            <v>Bộ</v>
          </cell>
          <cell r="D120">
            <v>60</v>
          </cell>
          <cell r="E120">
            <v>5000000</v>
          </cell>
          <cell r="F120">
            <v>4545454.5454545449</v>
          </cell>
        </row>
        <row r="121">
          <cell r="B121" t="str">
            <v>Cáp truyền số liệu cho các sensor</v>
          </cell>
          <cell r="C121">
            <v>0</v>
          </cell>
          <cell r="D121">
            <v>36</v>
          </cell>
          <cell r="E121">
            <v>5000000</v>
          </cell>
          <cell r="F121">
            <v>4545454.5454545449</v>
          </cell>
        </row>
        <row r="122">
          <cell r="B122" t="str">
            <v>Đường điện thoại/Internet truyền số liệu</v>
          </cell>
          <cell r="D122">
            <v>36</v>
          </cell>
          <cell r="E122">
            <v>2000000</v>
          </cell>
          <cell r="F122">
            <v>1818181.8181818181</v>
          </cell>
        </row>
        <row r="123">
          <cell r="B123" t="str">
            <v>Bộ làm sạch ống lấy mẫu</v>
          </cell>
          <cell r="D123">
            <v>6</v>
          </cell>
          <cell r="E123">
            <v>20000000</v>
          </cell>
          <cell r="F123">
            <v>18181818.18181818</v>
          </cell>
        </row>
        <row r="124">
          <cell r="B124" t="str">
            <v>Tủ đựng dụng cụ</v>
          </cell>
          <cell r="D124">
            <v>96</v>
          </cell>
          <cell r="E124">
            <v>3000000</v>
          </cell>
          <cell r="F124">
            <v>2727272.7272727271</v>
          </cell>
        </row>
        <row r="125">
          <cell r="B125" t="str">
            <v>Bộ làm sạch đường ống mẫu, bộ phân phối khí manifol và modul</v>
          </cell>
          <cell r="D125">
            <v>2</v>
          </cell>
          <cell r="E125">
            <v>20000000</v>
          </cell>
          <cell r="F125">
            <v>18181818.18181818</v>
          </cell>
        </row>
        <row r="126">
          <cell r="B126" t="str">
            <v>Bộ làm sạch đường ống mẫu và modul</v>
          </cell>
          <cell r="D126">
            <v>2</v>
          </cell>
          <cell r="E126">
            <v>20000000</v>
          </cell>
          <cell r="F126">
            <v>18181818.18181818</v>
          </cell>
        </row>
        <row r="127">
          <cell r="B127" t="str">
            <v>Đầu thu mẫu thép không gỉ</v>
          </cell>
          <cell r="D127">
            <v>12</v>
          </cell>
          <cell r="E127">
            <v>10000000</v>
          </cell>
          <cell r="F127">
            <v>9090909.0909090899</v>
          </cell>
        </row>
        <row r="128">
          <cell r="B128" t="str">
            <v>Tủ lắp đặt thiết bị có hệ thống dây điện và các bộ lọc ẩm</v>
          </cell>
          <cell r="D128">
            <v>36</v>
          </cell>
          <cell r="E128">
            <v>5000000</v>
          </cell>
          <cell r="F128">
            <v>4545454.5454545449</v>
          </cell>
        </row>
        <row r="129">
          <cell r="B129" t="str">
            <v>Bộ phần mềm truy nạp số liệu</v>
          </cell>
          <cell r="D129">
            <v>96</v>
          </cell>
          <cell r="E129">
            <v>15000000</v>
          </cell>
          <cell r="F129">
            <v>13636363.636363635</v>
          </cell>
        </row>
        <row r="130">
          <cell r="B130" t="str">
            <v>Bộ phần mềm quản lý số liệu và báo cáo</v>
          </cell>
          <cell r="D130">
            <v>96</v>
          </cell>
          <cell r="E130">
            <v>15000000</v>
          </cell>
          <cell r="F130">
            <v>13636363.636363635</v>
          </cell>
        </row>
        <row r="131">
          <cell r="B131" t="str">
            <v>Bộ chuyển đổi tín hiệu để nối mạng Modem</v>
          </cell>
          <cell r="D131">
            <v>36</v>
          </cell>
          <cell r="E131">
            <v>10000000</v>
          </cell>
          <cell r="F131">
            <v>9090909.0909090899</v>
          </cell>
        </row>
        <row r="132">
          <cell r="B132" t="str">
            <v>Máy ổn áp 3 pha cho hệ thống 15 kVA</v>
          </cell>
          <cell r="D132">
            <v>96</v>
          </cell>
          <cell r="E132">
            <v>12800000</v>
          </cell>
          <cell r="F132">
            <v>11636363.636363635</v>
          </cell>
        </row>
        <row r="133">
          <cell r="B133" t="str">
            <v xml:space="preserve">Giá đỡ thiết bị </v>
          </cell>
          <cell r="D133">
            <v>96</v>
          </cell>
          <cell r="E133">
            <v>2000000</v>
          </cell>
          <cell r="F133">
            <v>1818181.8181818181</v>
          </cell>
        </row>
        <row r="134">
          <cell r="B134" t="str">
            <v>Bình khí chuẩn</v>
          </cell>
          <cell r="D134">
            <v>96</v>
          </cell>
          <cell r="E134">
            <v>35000000</v>
          </cell>
          <cell r="F134">
            <v>31818181.818181816</v>
          </cell>
        </row>
        <row r="135">
          <cell r="B135" t="str">
            <v>Dung dịch cầu muối</v>
          </cell>
          <cell r="D135">
            <v>6</v>
          </cell>
          <cell r="E135">
            <v>10000000</v>
          </cell>
          <cell r="F135">
            <v>9090909.0909090899</v>
          </cell>
        </row>
        <row r="136">
          <cell r="B136" t="str">
            <v>Bình chứa nước đo mẫu</v>
          </cell>
          <cell r="D136">
            <v>36</v>
          </cell>
          <cell r="E136">
            <v>10000000</v>
          </cell>
          <cell r="F136">
            <v>9090909.0909090899</v>
          </cell>
        </row>
        <row r="137">
          <cell r="B137" t="str">
            <v>Đầu đo DO</v>
          </cell>
          <cell r="D137">
            <v>6</v>
          </cell>
          <cell r="E137">
            <v>59380000</v>
          </cell>
          <cell r="F137">
            <v>53981818.18181818</v>
          </cell>
        </row>
        <row r="138">
          <cell r="B138" t="str">
            <v>Đầu đo (loại công nghệ đo quang)</v>
          </cell>
          <cell r="D138">
            <v>6</v>
          </cell>
          <cell r="E138">
            <v>69380</v>
          </cell>
          <cell r="F138">
            <v>63072.727272727265</v>
          </cell>
        </row>
        <row r="139">
          <cell r="B139" t="str">
            <v>Bộ lồng bảo vệ các sensor và thanh dẫn hướng</v>
          </cell>
          <cell r="D139">
            <v>96</v>
          </cell>
          <cell r="E139">
            <v>10000000</v>
          </cell>
          <cell r="F139">
            <v>9090909.0909090899</v>
          </cell>
        </row>
        <row r="140">
          <cell r="B140" t="str">
            <v>Phao nâng các sensor</v>
          </cell>
          <cell r="D140">
            <v>6</v>
          </cell>
          <cell r="E140">
            <v>5000000</v>
          </cell>
          <cell r="F140">
            <v>4545454.5454545449</v>
          </cell>
        </row>
        <row r="141">
          <cell r="B141" t="str">
            <v>Chụp bảo vệ các thiết bị</v>
          </cell>
          <cell r="D141">
            <v>96</v>
          </cell>
          <cell r="E141">
            <v>7000000</v>
          </cell>
          <cell r="F141">
            <v>6363636.3636363633</v>
          </cell>
        </row>
        <row r="142">
          <cell r="B142" t="str">
            <v>Phao cứu sinh</v>
          </cell>
          <cell r="D142">
            <v>24</v>
          </cell>
          <cell r="E142">
            <v>45000</v>
          </cell>
          <cell r="F142">
            <v>40909.090909090904</v>
          </cell>
        </row>
        <row r="143">
          <cell r="B143" t="str">
            <v>Màng điện cực (thiết bị đo màng)</v>
          </cell>
          <cell r="D143">
            <v>6</v>
          </cell>
          <cell r="E143">
            <v>10000000</v>
          </cell>
          <cell r="F143">
            <v>9090909.0909090899</v>
          </cell>
        </row>
        <row r="144">
          <cell r="B144" t="str">
            <v>Nắp đầu đo (thiết bị quang)</v>
          </cell>
          <cell r="D144">
            <v>3</v>
          </cell>
          <cell r="E144">
            <v>5000000</v>
          </cell>
          <cell r="F144">
            <v>4545454.5454545449</v>
          </cell>
        </row>
        <row r="145">
          <cell r="B145" t="str">
            <v>Thùng đựng và bảo quản silicagel, Scrubber MIX</v>
          </cell>
          <cell r="D145">
            <v>12</v>
          </cell>
          <cell r="E145">
            <v>10000000</v>
          </cell>
          <cell r="F145">
            <v>9090909.0909090899</v>
          </cell>
        </row>
        <row r="146">
          <cell r="B146" t="str">
            <v>Đầu đo</v>
          </cell>
          <cell r="C146" t="str">
            <v>cái</v>
          </cell>
          <cell r="D146">
            <v>6</v>
          </cell>
          <cell r="E146">
            <v>2500000</v>
          </cell>
          <cell r="F146">
            <v>2272727.2727272725</v>
          </cell>
        </row>
        <row r="147">
          <cell r="B147" t="str">
            <v>Đầu đo 1000 lần đo</v>
          </cell>
          <cell r="C147" t="str">
            <v>cái</v>
          </cell>
          <cell r="D147">
            <v>2.5</v>
          </cell>
          <cell r="E147">
            <v>2500000</v>
          </cell>
          <cell r="F147">
            <v>2272727.2727272725</v>
          </cell>
        </row>
        <row r="148">
          <cell r="B148" t="str">
            <v>Đầu lấy mẫu</v>
          </cell>
          <cell r="C148" t="str">
            <v>Cái</v>
          </cell>
          <cell r="D148">
            <v>5</v>
          </cell>
          <cell r="E148">
            <v>2500000</v>
          </cell>
          <cell r="F148">
            <v>2272727.2727272725</v>
          </cell>
        </row>
        <row r="149">
          <cell r="B149" t="str">
            <v>Đèn D2</v>
          </cell>
          <cell r="C149" t="str">
            <v>cái</v>
          </cell>
          <cell r="D149">
            <v>24</v>
          </cell>
          <cell r="E149">
            <v>15000000</v>
          </cell>
          <cell r="F149">
            <v>13636363.636363635</v>
          </cell>
        </row>
        <row r="150">
          <cell r="B150" t="str">
            <v>Đèn EDL</v>
          </cell>
          <cell r="C150" t="str">
            <v>cái</v>
          </cell>
          <cell r="D150">
            <v>24</v>
          </cell>
          <cell r="E150">
            <v>14000000</v>
          </cell>
          <cell r="F150">
            <v>12727272.727272727</v>
          </cell>
        </row>
        <row r="151">
          <cell r="B151" t="str">
            <v>Đèn HCL</v>
          </cell>
          <cell r="C151" t="str">
            <v>cái</v>
          </cell>
          <cell r="D151">
            <v>24</v>
          </cell>
          <cell r="E151">
            <v>19000000</v>
          </cell>
          <cell r="F151">
            <v>17272727.27272727</v>
          </cell>
        </row>
        <row r="152">
          <cell r="B152" t="str">
            <v>Đèn neon 40w</v>
          </cell>
          <cell r="C152" t="str">
            <v>bộ</v>
          </cell>
          <cell r="D152">
            <v>36</v>
          </cell>
          <cell r="E152">
            <v>40000</v>
          </cell>
          <cell r="F152">
            <v>36363.63636363636</v>
          </cell>
        </row>
        <row r="153">
          <cell r="B153" t="str">
            <v>Đèn Tungsten</v>
          </cell>
          <cell r="C153" t="str">
            <v>cái</v>
          </cell>
          <cell r="D153">
            <v>24</v>
          </cell>
          <cell r="E153">
            <v>4500000</v>
          </cell>
          <cell r="F153">
            <v>4090909.0909090904</v>
          </cell>
        </row>
        <row r="154">
          <cell r="B154" t="str">
            <v>Đèn Wimac = 200h</v>
          </cell>
          <cell r="C154" t="str">
            <v>cái</v>
          </cell>
          <cell r="D154">
            <v>24</v>
          </cell>
          <cell r="E154">
            <v>21000000</v>
          </cell>
          <cell r="F154">
            <v>19090909.09090909</v>
          </cell>
        </row>
        <row r="155">
          <cell r="B155" t="str">
            <v>Đèn Wimax = 200h</v>
          </cell>
          <cell r="C155" t="str">
            <v>Cái</v>
          </cell>
          <cell r="D155">
            <v>24</v>
          </cell>
          <cell r="E155">
            <v>21000000</v>
          </cell>
          <cell r="F155">
            <v>19090909.09090909</v>
          </cell>
        </row>
        <row r="156">
          <cell r="B156" t="str">
            <v>Đèn Dimax = 500h</v>
          </cell>
          <cell r="C156" t="str">
            <v xml:space="preserve">cái </v>
          </cell>
          <cell r="D156">
            <v>24</v>
          </cell>
          <cell r="E156">
            <v>10000000</v>
          </cell>
          <cell r="F156">
            <v>9090909.0909090899</v>
          </cell>
        </row>
        <row r="157">
          <cell r="B157" t="str">
            <v>Đèn Wimax =500h</v>
          </cell>
          <cell r="C157" t="str">
            <v xml:space="preserve">cái </v>
          </cell>
          <cell r="D157">
            <v>24</v>
          </cell>
          <cell r="E157">
            <v>23000000</v>
          </cell>
          <cell r="F157">
            <v>20909090.909090906</v>
          </cell>
        </row>
        <row r="158">
          <cell r="B158" t="str">
            <v>Đèn Wimax =200h</v>
          </cell>
          <cell r="C158" t="str">
            <v xml:space="preserve">cái </v>
          </cell>
          <cell r="D158">
            <v>24</v>
          </cell>
          <cell r="E158">
            <v>21000000</v>
          </cell>
          <cell r="F158">
            <v>19090909.09090909</v>
          </cell>
        </row>
        <row r="159">
          <cell r="B159" t="str">
            <v>Đĩa cân</v>
          </cell>
          <cell r="C159" t="str">
            <v>Cái</v>
          </cell>
          <cell r="D159">
            <v>60</v>
          </cell>
          <cell r="E159">
            <v>80000</v>
          </cell>
          <cell r="F159">
            <v>72727.272727272721</v>
          </cell>
        </row>
        <row r="160">
          <cell r="B160" t="str">
            <v>Đĩa phơi mẫu</v>
          </cell>
          <cell r="C160" t="str">
            <v>Cái</v>
          </cell>
          <cell r="D160">
            <v>1.5</v>
          </cell>
          <cell r="E160">
            <v>14000</v>
          </cell>
          <cell r="F160">
            <v>12727.272727272726</v>
          </cell>
        </row>
        <row r="161">
          <cell r="B161" t="str">
            <v>Đĩa thủy tinh</v>
          </cell>
          <cell r="C161" t="str">
            <v>cái</v>
          </cell>
          <cell r="D161">
            <v>12</v>
          </cell>
          <cell r="E161">
            <v>15000</v>
          </cell>
          <cell r="F161">
            <v>13636.363636363636</v>
          </cell>
        </row>
        <row r="162">
          <cell r="B162" t="str">
            <v>Điện cực</v>
          </cell>
          <cell r="C162" t="str">
            <v>cái</v>
          </cell>
          <cell r="D162">
            <v>6</v>
          </cell>
          <cell r="E162">
            <v>1600000</v>
          </cell>
          <cell r="F162">
            <v>1454545.4545454544</v>
          </cell>
        </row>
        <row r="163">
          <cell r="B163" t="str">
            <v>Điện cực độ dẫn Pt</v>
          </cell>
          <cell r="C163" t="str">
            <v>Cái</v>
          </cell>
          <cell r="D163">
            <v>12</v>
          </cell>
          <cell r="E163">
            <v>1600000</v>
          </cell>
          <cell r="F163">
            <v>1454545.4545454544</v>
          </cell>
        </row>
        <row r="164">
          <cell r="B164" t="str">
            <v>Điện cực pH</v>
          </cell>
          <cell r="C164" t="str">
            <v>cái</v>
          </cell>
          <cell r="D164">
            <v>12</v>
          </cell>
          <cell r="E164">
            <v>13000000</v>
          </cell>
          <cell r="F164">
            <v>11818181.818181816</v>
          </cell>
        </row>
        <row r="165">
          <cell r="B165" t="str">
            <v>Điện năng</v>
          </cell>
          <cell r="C165" t="str">
            <v>kw</v>
          </cell>
          <cell r="D165">
            <v>0</v>
          </cell>
          <cell r="E165">
            <v>1838</v>
          </cell>
          <cell r="F165">
            <v>1670.9090909090908</v>
          </cell>
        </row>
        <row r="166">
          <cell r="B166" t="str">
            <v>Đồng hồ treo tường</v>
          </cell>
          <cell r="C166" t="str">
            <v xml:space="preserve">cái </v>
          </cell>
          <cell r="D166">
            <v>60</v>
          </cell>
          <cell r="E166">
            <v>50000</v>
          </cell>
          <cell r="F166">
            <v>45454.545454545449</v>
          </cell>
        </row>
        <row r="167">
          <cell r="B167" t="str">
            <v>Đũa thủy tinh</v>
          </cell>
          <cell r="C167" t="str">
            <v>Cái</v>
          </cell>
          <cell r="D167">
            <v>12</v>
          </cell>
          <cell r="E167">
            <v>15000</v>
          </cell>
          <cell r="F167">
            <v>13636.363636363636</v>
          </cell>
        </row>
        <row r="168">
          <cell r="B168" t="str">
            <v>Găng tay y tế</v>
          </cell>
          <cell r="C168" t="str">
            <v>hộp</v>
          </cell>
          <cell r="D168">
            <v>0.3</v>
          </cell>
          <cell r="E168">
            <v>200000</v>
          </cell>
          <cell r="F168">
            <v>181818.18181818179</v>
          </cell>
        </row>
        <row r="169">
          <cell r="B169" t="str">
            <v>Găng tay cao su</v>
          </cell>
          <cell r="C169" t="str">
            <v>đôi</v>
          </cell>
          <cell r="D169">
            <v>3</v>
          </cell>
          <cell r="E169">
            <v>5000</v>
          </cell>
          <cell r="F169">
            <v>4545.454545454545</v>
          </cell>
        </row>
        <row r="170">
          <cell r="B170" t="str">
            <v>Găng tay không bột</v>
          </cell>
          <cell r="C170" t="str">
            <v>hộp</v>
          </cell>
          <cell r="D170">
            <v>0.3</v>
          </cell>
          <cell r="E170">
            <v>400000</v>
          </cell>
          <cell r="F170">
            <v>363636.36363636359</v>
          </cell>
        </row>
        <row r="171">
          <cell r="B171" t="str">
            <v>Găng tay chống nóng</v>
          </cell>
          <cell r="C171" t="str">
            <v>đôi</v>
          </cell>
          <cell r="D171">
            <v>3</v>
          </cell>
          <cell r="E171">
            <v>500000</v>
          </cell>
          <cell r="F171">
            <v>454545.45454545453</v>
          </cell>
        </row>
        <row r="172">
          <cell r="B172" t="str">
            <v>Ghế ngồi</v>
          </cell>
          <cell r="C172" t="str">
            <v>cái</v>
          </cell>
          <cell r="D172">
            <v>96</v>
          </cell>
          <cell r="E172">
            <v>80000</v>
          </cell>
          <cell r="F172">
            <v>72727.272727272721</v>
          </cell>
        </row>
        <row r="173">
          <cell r="B173" t="str">
            <v>Ghế tựa</v>
          </cell>
          <cell r="C173" t="str">
            <v xml:space="preserve">cái </v>
          </cell>
          <cell r="D173">
            <v>96</v>
          </cell>
          <cell r="E173">
            <v>80000</v>
          </cell>
          <cell r="F173">
            <v>72727.272727272721</v>
          </cell>
        </row>
        <row r="174">
          <cell r="B174" t="str">
            <v>Giầy BHLĐ</v>
          </cell>
          <cell r="C174" t="str">
            <v xml:space="preserve">đôi </v>
          </cell>
          <cell r="D174">
            <v>6</v>
          </cell>
          <cell r="E174">
            <v>25000</v>
          </cell>
          <cell r="F174">
            <v>22727.272727272724</v>
          </cell>
        </row>
        <row r="175">
          <cell r="B175" t="str">
            <v>Giấy lọc băng xanh</v>
          </cell>
          <cell r="C175" t="str">
            <v>hộp</v>
          </cell>
          <cell r="D175">
            <v>1</v>
          </cell>
          <cell r="E175">
            <v>155000</v>
          </cell>
          <cell r="F175">
            <v>140909.09090909091</v>
          </cell>
        </row>
        <row r="176">
          <cell r="B176" t="str">
            <v>Giấy thử pH</v>
          </cell>
          <cell r="C176" t="str">
            <v>Hộp</v>
          </cell>
          <cell r="D176">
            <v>1</v>
          </cell>
          <cell r="E176">
            <v>20000</v>
          </cell>
          <cell r="F176">
            <v>18181.81818181818</v>
          </cell>
        </row>
        <row r="177">
          <cell r="B177" t="str">
            <v>Gim bấm</v>
          </cell>
          <cell r="C177" t="str">
            <v>Hộp</v>
          </cell>
          <cell r="D177">
            <v>1</v>
          </cell>
          <cell r="E177">
            <v>4000</v>
          </cell>
          <cell r="F177">
            <v>3636.363636363636</v>
          </cell>
        </row>
        <row r="178">
          <cell r="B178" t="str">
            <v>Gim kẹp giấy</v>
          </cell>
          <cell r="C178" t="str">
            <v>Hộp</v>
          </cell>
          <cell r="D178">
            <v>1</v>
          </cell>
          <cell r="E178">
            <v>4000</v>
          </cell>
          <cell r="F178">
            <v>3636.363636363636</v>
          </cell>
        </row>
        <row r="179">
          <cell r="B179" t="str">
            <v>Hộp đo</v>
          </cell>
          <cell r="C179" t="str">
            <v xml:space="preserve">cái </v>
          </cell>
          <cell r="D179">
            <v>10</v>
          </cell>
          <cell r="E179">
            <v>30000</v>
          </cell>
          <cell r="F179">
            <v>27272.727272727272</v>
          </cell>
        </row>
        <row r="180">
          <cell r="B180" t="str">
            <v xml:space="preserve">Hộp đựng thiết bị </v>
          </cell>
          <cell r="C180" t="str">
            <v>cái</v>
          </cell>
          <cell r="D180">
            <v>1.5</v>
          </cell>
          <cell r="E180">
            <v>220000</v>
          </cell>
          <cell r="F180">
            <v>199999.99999999997</v>
          </cell>
        </row>
        <row r="181">
          <cell r="B181" t="str">
            <v xml:space="preserve">Hộp đựng mẫu </v>
          </cell>
          <cell r="C181" t="str">
            <v xml:space="preserve">cái </v>
          </cell>
          <cell r="D181">
            <v>6</v>
          </cell>
          <cell r="E181">
            <v>300000</v>
          </cell>
          <cell r="F181">
            <v>272727.27272727271</v>
          </cell>
        </row>
        <row r="182">
          <cell r="B182" t="str">
            <v xml:space="preserve">Hai giá đỡ thiết bị </v>
          </cell>
          <cell r="C182" t="str">
            <v>cái</v>
          </cell>
          <cell r="D182">
            <v>12</v>
          </cell>
          <cell r="E182">
            <v>2000000</v>
          </cell>
          <cell r="F182">
            <v>1818181.8181818181</v>
          </cell>
        </row>
        <row r="183">
          <cell r="B183" t="str">
            <v>Kết nối đầu đo</v>
          </cell>
          <cell r="C183" t="str">
            <v>cái</v>
          </cell>
          <cell r="D183">
            <v>3</v>
          </cell>
          <cell r="E183">
            <v>100000</v>
          </cell>
          <cell r="F183">
            <v>90909.090909090897</v>
          </cell>
        </row>
        <row r="184">
          <cell r="B184" t="str">
            <v>Hộp dụng cụ sửa chữa</v>
          </cell>
          <cell r="C184" t="str">
            <v>cái</v>
          </cell>
          <cell r="D184">
            <v>6</v>
          </cell>
          <cell r="E184">
            <v>200000</v>
          </cell>
          <cell r="F184">
            <v>181818.18181818179</v>
          </cell>
        </row>
        <row r="185">
          <cell r="B185" t="str">
            <v>Kim tiêm mẫu (syringe 10uL)</v>
          </cell>
          <cell r="C185" t="str">
            <v>Cái</v>
          </cell>
          <cell r="D185">
            <v>6</v>
          </cell>
          <cell r="E185">
            <v>1600000</v>
          </cell>
          <cell r="F185">
            <v>1454545.4545454544</v>
          </cell>
        </row>
        <row r="186">
          <cell r="B186" t="str">
            <v>Khay đựng mẫu sàng rây</v>
          </cell>
          <cell r="C186" t="str">
            <v>Cái</v>
          </cell>
          <cell r="D186">
            <v>12</v>
          </cell>
          <cell r="E186">
            <v>350000</v>
          </cell>
          <cell r="F186">
            <v>318181.81818181818</v>
          </cell>
        </row>
        <row r="187">
          <cell r="B187" t="str">
            <v>Khay rửa dụng cụ</v>
          </cell>
          <cell r="C187" t="str">
            <v>Cái</v>
          </cell>
          <cell r="D187">
            <v>12</v>
          </cell>
          <cell r="E187">
            <v>70000</v>
          </cell>
          <cell r="F187">
            <v>63636.363636363632</v>
          </cell>
        </row>
        <row r="188">
          <cell r="B188" t="str">
            <v>Khay inox</v>
          </cell>
          <cell r="C188" t="str">
            <v>cái</v>
          </cell>
          <cell r="D188">
            <v>36</v>
          </cell>
          <cell r="E188">
            <v>80000</v>
          </cell>
          <cell r="F188">
            <v>72727.272727272721</v>
          </cell>
        </row>
        <row r="189">
          <cell r="B189" t="str">
            <v>Khay nung</v>
          </cell>
          <cell r="C189" t="str">
            <v xml:space="preserve">cái </v>
          </cell>
          <cell r="D189">
            <v>6</v>
          </cell>
          <cell r="E189">
            <v>8800000</v>
          </cell>
          <cell r="F189">
            <v>7999999.9999999991</v>
          </cell>
        </row>
        <row r="190">
          <cell r="B190" t="str">
            <v>Khẩu trang</v>
          </cell>
          <cell r="C190" t="str">
            <v>Hộp</v>
          </cell>
          <cell r="D190">
            <v>0.3</v>
          </cell>
          <cell r="E190">
            <v>400000</v>
          </cell>
          <cell r="F190">
            <v>363636.36363636359</v>
          </cell>
        </row>
        <row r="191">
          <cell r="B191" t="str">
            <v>Khẩu trang phòng độc</v>
          </cell>
          <cell r="C191" t="str">
            <v>cái</v>
          </cell>
          <cell r="D191">
            <v>3</v>
          </cell>
          <cell r="E191">
            <v>350000</v>
          </cell>
          <cell r="F191">
            <v>318181.81818181818</v>
          </cell>
        </row>
        <row r="192">
          <cell r="B192" t="str">
            <v>Khẩu trang y tế</v>
          </cell>
          <cell r="C192" t="str">
            <v>Hộp</v>
          </cell>
          <cell r="D192">
            <v>0.3</v>
          </cell>
          <cell r="E192">
            <v>400000</v>
          </cell>
          <cell r="F192">
            <v>363636.36363636359</v>
          </cell>
        </row>
        <row r="193">
          <cell r="B193" t="str">
            <v>Khẩu trang than hoạt tính</v>
          </cell>
          <cell r="C193" t="str">
            <v>Cái</v>
          </cell>
          <cell r="D193">
            <v>1</v>
          </cell>
          <cell r="E193">
            <v>15000</v>
          </cell>
          <cell r="F193">
            <v>13636.363636363636</v>
          </cell>
        </row>
        <row r="194">
          <cell r="B194" t="str">
            <v>Khí CO</v>
          </cell>
          <cell r="C194">
            <v>0</v>
          </cell>
          <cell r="D194">
            <v>1</v>
          </cell>
          <cell r="E194">
            <v>800000</v>
          </cell>
          <cell r="F194">
            <v>727272.72727272718</v>
          </cell>
        </row>
        <row r="195">
          <cell r="B195" t="str">
            <v>Lưới chuyên dùng</v>
          </cell>
          <cell r="C195" t="str">
            <v>cái</v>
          </cell>
          <cell r="D195">
            <v>24</v>
          </cell>
          <cell r="E195">
            <v>32000000</v>
          </cell>
          <cell r="F195">
            <v>29090909.09090909</v>
          </cell>
        </row>
        <row r="196">
          <cell r="B196" t="str">
            <v>Màng lọc</v>
          </cell>
          <cell r="C196" t="str">
            <v>cái</v>
          </cell>
          <cell r="D196">
            <v>1</v>
          </cell>
          <cell r="E196">
            <v>35000</v>
          </cell>
          <cell r="F196">
            <v>31818.181818181816</v>
          </cell>
        </row>
        <row r="197">
          <cell r="B197" t="str">
            <v>Máng đo tiêu chuẩn</v>
          </cell>
          <cell r="C197" t="str">
            <v>Cái</v>
          </cell>
          <cell r="D197">
            <v>9</v>
          </cell>
          <cell r="E197">
            <v>2000000</v>
          </cell>
          <cell r="F197">
            <v>1818181.8181818181</v>
          </cell>
        </row>
        <row r="198">
          <cell r="B198" t="str">
            <v>Màng lọc cho FIAS</v>
          </cell>
          <cell r="C198" t="str">
            <v>cái</v>
          </cell>
          <cell r="D198">
            <v>2</v>
          </cell>
          <cell r="E198">
            <v>1450000</v>
          </cell>
          <cell r="F198">
            <v>1318181.8181818181</v>
          </cell>
        </row>
        <row r="199">
          <cell r="B199" t="str">
            <v>Màng DO</v>
          </cell>
          <cell r="C199" t="str">
            <v>cái</v>
          </cell>
          <cell r="D199">
            <v>12</v>
          </cell>
          <cell r="E199">
            <v>8000000</v>
          </cell>
          <cell r="F199">
            <v>7272727.2727272725</v>
          </cell>
        </row>
        <row r="200">
          <cell r="B200" t="str">
            <v>Máy hút ẩm 1,5kw</v>
          </cell>
          <cell r="C200" t="str">
            <v xml:space="preserve">cái </v>
          </cell>
          <cell r="D200">
            <v>60</v>
          </cell>
          <cell r="E200">
            <v>1500000</v>
          </cell>
          <cell r="F200">
            <v>1363636.3636363635</v>
          </cell>
        </row>
        <row r="201">
          <cell r="B201" t="str">
            <v>Máy hút bụi 2kw</v>
          </cell>
          <cell r="C201" t="str">
            <v xml:space="preserve">cái </v>
          </cell>
          <cell r="D201">
            <v>60</v>
          </cell>
          <cell r="E201">
            <v>1600000</v>
          </cell>
          <cell r="F201">
            <v>1454545.4545454544</v>
          </cell>
        </row>
        <row r="202">
          <cell r="B202" t="str">
            <v>Micropipet 10ml</v>
          </cell>
          <cell r="C202" t="str">
            <v xml:space="preserve">cái </v>
          </cell>
          <cell r="D202">
            <v>12</v>
          </cell>
          <cell r="E202">
            <v>3500000</v>
          </cell>
          <cell r="F202">
            <v>3181818.1818181816</v>
          </cell>
        </row>
        <row r="203">
          <cell r="B203" t="str">
            <v>Micropipet 1ml</v>
          </cell>
          <cell r="C203" t="str">
            <v xml:space="preserve">cái </v>
          </cell>
          <cell r="D203">
            <v>12</v>
          </cell>
          <cell r="E203">
            <v>3500000</v>
          </cell>
          <cell r="F203">
            <v>3181818.1818181816</v>
          </cell>
        </row>
        <row r="204">
          <cell r="B204" t="str">
            <v>Micropipet 5ml</v>
          </cell>
          <cell r="C204" t="str">
            <v>Cái</v>
          </cell>
          <cell r="D204">
            <v>12</v>
          </cell>
          <cell r="E204">
            <v>3500000</v>
          </cell>
          <cell r="F204">
            <v>3181818.1818181816</v>
          </cell>
        </row>
        <row r="205">
          <cell r="B205" t="str">
            <v>Mocropipet 1ml</v>
          </cell>
          <cell r="C205" t="str">
            <v xml:space="preserve">cái </v>
          </cell>
          <cell r="D205">
            <v>12</v>
          </cell>
          <cell r="E205">
            <v>3500000</v>
          </cell>
          <cell r="F205">
            <v>3181818.1818181816</v>
          </cell>
        </row>
        <row r="206">
          <cell r="B206" t="str">
            <v>Mocropipet 5ml</v>
          </cell>
          <cell r="C206" t="str">
            <v xml:space="preserve">cái </v>
          </cell>
          <cell r="D206">
            <v>12</v>
          </cell>
          <cell r="E206">
            <v>3500000</v>
          </cell>
          <cell r="F206">
            <v>3181818.1818181816</v>
          </cell>
        </row>
        <row r="207">
          <cell r="B207" t="str">
            <v>Mũ cứng</v>
          </cell>
          <cell r="C207" t="str">
            <v>Cái</v>
          </cell>
          <cell r="D207">
            <v>12</v>
          </cell>
          <cell r="E207">
            <v>20000</v>
          </cell>
          <cell r="F207">
            <v>18181.81818181818</v>
          </cell>
        </row>
        <row r="208">
          <cell r="B208" t="str">
            <v>Nhíp</v>
          </cell>
          <cell r="C208" t="str">
            <v>cái</v>
          </cell>
          <cell r="D208">
            <v>36</v>
          </cell>
          <cell r="E208">
            <v>20000</v>
          </cell>
          <cell r="F208">
            <v>18181.81818181818</v>
          </cell>
        </row>
        <row r="209">
          <cell r="B209" t="str">
            <v>Ổ cắm điện có cầu chì</v>
          </cell>
          <cell r="C209" t="str">
            <v>Cái</v>
          </cell>
          <cell r="D209">
            <v>36</v>
          </cell>
          <cell r="E209">
            <v>65000</v>
          </cell>
          <cell r="F209">
            <v>59090.909090909088</v>
          </cell>
        </row>
        <row r="210">
          <cell r="B210" t="str">
            <v>Ô che mưa, che nắng</v>
          </cell>
          <cell r="C210" t="str">
            <v>Cái</v>
          </cell>
          <cell r="D210">
            <v>24</v>
          </cell>
          <cell r="E210">
            <v>110000</v>
          </cell>
          <cell r="F210">
            <v>99999.999999999985</v>
          </cell>
        </row>
        <row r="211">
          <cell r="B211" t="str">
            <v>Ống (corer) bằng thép không gỉ, Ф 100mm</v>
          </cell>
          <cell r="C211" t="str">
            <v>cái</v>
          </cell>
          <cell r="D211">
            <v>24</v>
          </cell>
          <cell r="E211">
            <v>5000000</v>
          </cell>
          <cell r="F211">
            <v>4545454.5454545449</v>
          </cell>
        </row>
        <row r="212">
          <cell r="B212" t="str">
            <v>Ống chứa mẫu 15ml (có nắp)</v>
          </cell>
          <cell r="C212" t="str">
            <v xml:space="preserve">cái </v>
          </cell>
          <cell r="D212">
            <v>6</v>
          </cell>
          <cell r="E212">
            <v>15000</v>
          </cell>
          <cell r="F212">
            <v>13636.363636363636</v>
          </cell>
        </row>
        <row r="213">
          <cell r="B213" t="str">
            <v>Ống duham</v>
          </cell>
          <cell r="C213" t="str">
            <v xml:space="preserve">ống </v>
          </cell>
          <cell r="D213">
            <v>6</v>
          </cell>
          <cell r="E213">
            <v>3000</v>
          </cell>
          <cell r="F213">
            <v>2727.272727272727</v>
          </cell>
        </row>
        <row r="214">
          <cell r="B214" t="str">
            <v>Ống đong 100ml</v>
          </cell>
          <cell r="C214" t="str">
            <v xml:space="preserve">cái </v>
          </cell>
          <cell r="D214">
            <v>6</v>
          </cell>
          <cell r="E214">
            <v>120000</v>
          </cell>
          <cell r="F214">
            <v>109090.90909090909</v>
          </cell>
        </row>
        <row r="215">
          <cell r="B215" t="str">
            <v>Ống đong 250ml</v>
          </cell>
          <cell r="C215" t="str">
            <v xml:space="preserve">cái </v>
          </cell>
          <cell r="D215">
            <v>6</v>
          </cell>
          <cell r="E215">
            <v>250000</v>
          </cell>
          <cell r="F215">
            <v>227272.72727272726</v>
          </cell>
        </row>
        <row r="216">
          <cell r="B216" t="str">
            <v>Ống hấp thụ</v>
          </cell>
          <cell r="C216" t="str">
            <v>cái</v>
          </cell>
          <cell r="D216">
            <v>6</v>
          </cell>
          <cell r="E216">
            <v>1600000</v>
          </cell>
          <cell r="F216">
            <v>1454545.4545454544</v>
          </cell>
        </row>
        <row r="217">
          <cell r="B217" t="str">
            <v>Ống hút</v>
          </cell>
          <cell r="C217" t="str">
            <v xml:space="preserve">cái </v>
          </cell>
          <cell r="D217">
            <v>3</v>
          </cell>
          <cell r="E217">
            <v>7500</v>
          </cell>
          <cell r="F217">
            <v>6818.181818181818</v>
          </cell>
        </row>
        <row r="218">
          <cell r="B218" t="str">
            <v>Ống manifold</v>
          </cell>
          <cell r="C218" t="str">
            <v>cái</v>
          </cell>
          <cell r="D218">
            <v>12</v>
          </cell>
          <cell r="E218">
            <v>30000000</v>
          </cell>
          <cell r="F218">
            <v>27272727.27272727</v>
          </cell>
        </row>
        <row r="219">
          <cell r="B219" t="str">
            <v>Ống nghiệm 25*150</v>
          </cell>
          <cell r="C219" t="str">
            <v>Ống</v>
          </cell>
          <cell r="D219">
            <v>6</v>
          </cell>
          <cell r="E219">
            <v>60000</v>
          </cell>
          <cell r="F219">
            <v>54545.454545454544</v>
          </cell>
        </row>
        <row r="220">
          <cell r="B220" t="str">
            <v>Ống nghiệm có nắp</v>
          </cell>
          <cell r="C220" t="str">
            <v>ống</v>
          </cell>
          <cell r="D220">
            <v>6</v>
          </cell>
          <cell r="E220">
            <v>25000</v>
          </cell>
          <cell r="F220">
            <v>22727.272727272724</v>
          </cell>
        </row>
        <row r="221">
          <cell r="B221" t="str">
            <v>Ống nghiệm không nắp</v>
          </cell>
          <cell r="C221" t="str">
            <v>Ống</v>
          </cell>
          <cell r="D221">
            <v>6</v>
          </cell>
          <cell r="E221">
            <v>22000</v>
          </cell>
          <cell r="F221">
            <v>20000</v>
          </cell>
        </row>
        <row r="222">
          <cell r="B222" t="str">
            <v>Ống phá mẫu có nắp kín</v>
          </cell>
          <cell r="C222" t="str">
            <v xml:space="preserve">cái </v>
          </cell>
          <cell r="D222">
            <v>6</v>
          </cell>
          <cell r="E222">
            <v>30000</v>
          </cell>
          <cell r="F222">
            <v>27272.727272727272</v>
          </cell>
        </row>
        <row r="223">
          <cell r="B223" t="str">
            <v>Ống teflon</v>
          </cell>
          <cell r="C223" t="str">
            <v>cái</v>
          </cell>
          <cell r="D223">
            <v>6</v>
          </cell>
          <cell r="E223">
            <v>500000</v>
          </cell>
          <cell r="F223">
            <v>454545.45454545453</v>
          </cell>
        </row>
        <row r="224">
          <cell r="B224" t="str">
            <v>Ống thép không rỉ</v>
          </cell>
          <cell r="C224" t="str">
            <v>Cái</v>
          </cell>
          <cell r="D224">
            <v>12</v>
          </cell>
          <cell r="E224">
            <v>80000</v>
          </cell>
          <cell r="F224">
            <v>72727.272727272721</v>
          </cell>
        </row>
        <row r="225">
          <cell r="B225" t="str">
            <v>MicroPipet</v>
          </cell>
          <cell r="C225" t="str">
            <v>cái</v>
          </cell>
          <cell r="D225">
            <v>12</v>
          </cell>
          <cell r="E225">
            <v>3700000</v>
          </cell>
          <cell r="F225">
            <v>3363636.3636363633</v>
          </cell>
        </row>
        <row r="226">
          <cell r="B226" t="str">
            <v>Pipet 1000ml, 200ml, 100ml</v>
          </cell>
          <cell r="C226" t="str">
            <v>cái</v>
          </cell>
          <cell r="D226">
            <v>12</v>
          </cell>
          <cell r="E226">
            <v>80000</v>
          </cell>
          <cell r="F226">
            <v>72727.272727272721</v>
          </cell>
        </row>
        <row r="227">
          <cell r="B227" t="str">
            <v>Pipet 10ml</v>
          </cell>
          <cell r="C227" t="str">
            <v xml:space="preserve">cái </v>
          </cell>
          <cell r="D227">
            <v>12</v>
          </cell>
          <cell r="E227">
            <v>70000</v>
          </cell>
          <cell r="F227">
            <v>63636.363636363632</v>
          </cell>
        </row>
        <row r="228">
          <cell r="B228" t="str">
            <v>Pipet 1ml</v>
          </cell>
          <cell r="C228" t="str">
            <v>Cái</v>
          </cell>
          <cell r="D228">
            <v>12</v>
          </cell>
          <cell r="E228">
            <v>70000</v>
          </cell>
          <cell r="F228">
            <v>63636.363636363632</v>
          </cell>
        </row>
        <row r="229">
          <cell r="B229" t="str">
            <v>Pipet 5ml</v>
          </cell>
          <cell r="C229" t="str">
            <v xml:space="preserve">cái </v>
          </cell>
          <cell r="D229">
            <v>12</v>
          </cell>
          <cell r="E229">
            <v>80000</v>
          </cell>
          <cell r="F229">
            <v>72727.272727272721</v>
          </cell>
        </row>
        <row r="230">
          <cell r="B230" t="str">
            <v>Pipet loại 1ml, 2ml, 5ml</v>
          </cell>
          <cell r="C230" t="str">
            <v>cái</v>
          </cell>
          <cell r="D230">
            <v>12</v>
          </cell>
          <cell r="E230">
            <v>80000</v>
          </cell>
          <cell r="F230">
            <v>72727.272727272721</v>
          </cell>
        </row>
        <row r="231">
          <cell r="B231" t="str">
            <v>Phễu chiết 1000ml</v>
          </cell>
          <cell r="C231" t="str">
            <v xml:space="preserve">cái </v>
          </cell>
          <cell r="D231">
            <v>12</v>
          </cell>
          <cell r="E231">
            <v>1750000</v>
          </cell>
          <cell r="F231">
            <v>1590909.0909090908</v>
          </cell>
        </row>
        <row r="232">
          <cell r="B232" t="str">
            <v>Phễu chiết 500ml</v>
          </cell>
          <cell r="C232" t="str">
            <v>Cái</v>
          </cell>
          <cell r="D232">
            <v>12</v>
          </cell>
          <cell r="E232">
            <v>1350000</v>
          </cell>
          <cell r="F232">
            <v>1227272.7272727271</v>
          </cell>
        </row>
        <row r="233">
          <cell r="B233" t="str">
            <v>Phễu lọc</v>
          </cell>
          <cell r="C233" t="str">
            <v>cái</v>
          </cell>
          <cell r="D233">
            <v>12</v>
          </cell>
          <cell r="E233">
            <v>20000</v>
          </cell>
          <cell r="F233">
            <v>18181.81818181818</v>
          </cell>
        </row>
        <row r="234">
          <cell r="B234" t="str">
            <v>Phễu lọc thủy tinh</v>
          </cell>
          <cell r="C234" t="str">
            <v>cái</v>
          </cell>
          <cell r="D234">
            <v>12</v>
          </cell>
          <cell r="E234">
            <v>35000</v>
          </cell>
          <cell r="F234">
            <v>31818.181818181816</v>
          </cell>
        </row>
        <row r="235">
          <cell r="B235" t="str">
            <v>Phin lọc chuyên dụng FPP-15</v>
          </cell>
          <cell r="C235" t="str">
            <v xml:space="preserve">m2 </v>
          </cell>
          <cell r="D235" t="str">
            <v>1 lần</v>
          </cell>
          <cell r="E235">
            <v>80000</v>
          </cell>
          <cell r="F235">
            <v>72727.272727272721</v>
          </cell>
        </row>
        <row r="236">
          <cell r="B236" t="str">
            <v>Phin lọc Ф47</v>
          </cell>
          <cell r="C236" t="str">
            <v>cái</v>
          </cell>
          <cell r="D236" t="str">
            <v>1 lần</v>
          </cell>
          <cell r="E236">
            <v>300000</v>
          </cell>
          <cell r="F236">
            <v>272727.27272727271</v>
          </cell>
        </row>
        <row r="237">
          <cell r="B237" t="str">
            <v xml:space="preserve">Quả bóp </v>
          </cell>
          <cell r="C237" t="str">
            <v>cái</v>
          </cell>
          <cell r="D237">
            <v>12</v>
          </cell>
          <cell r="E237">
            <v>150000</v>
          </cell>
          <cell r="F237">
            <v>136363.63636363635</v>
          </cell>
        </row>
        <row r="238">
          <cell r="B238" t="str">
            <v>Quạt thông gió 40w</v>
          </cell>
          <cell r="C238" t="str">
            <v>Cái</v>
          </cell>
          <cell r="D238">
            <v>60</v>
          </cell>
          <cell r="E238">
            <v>250000</v>
          </cell>
          <cell r="F238">
            <v>227272.72727272726</v>
          </cell>
        </row>
        <row r="239">
          <cell r="B239" t="str">
            <v>Quạt trần 100w</v>
          </cell>
          <cell r="C239" t="str">
            <v xml:space="preserve">cái </v>
          </cell>
          <cell r="D239">
            <v>60</v>
          </cell>
          <cell r="E239">
            <v>500000</v>
          </cell>
          <cell r="F239">
            <v>454545.45454545453</v>
          </cell>
        </row>
        <row r="240">
          <cell r="B240" t="str">
            <v>Quần áo BHLĐ</v>
          </cell>
          <cell r="C240" t="str">
            <v>Bộ</v>
          </cell>
          <cell r="D240">
            <v>12</v>
          </cell>
          <cell r="E240">
            <v>50000</v>
          </cell>
          <cell r="F240">
            <v>45454.545454545449</v>
          </cell>
        </row>
        <row r="241">
          <cell r="B241" t="str">
            <v>Sàng rây</v>
          </cell>
          <cell r="C241" t="str">
            <v>cái</v>
          </cell>
          <cell r="D241">
            <v>24</v>
          </cell>
          <cell r="E241">
            <v>3000000</v>
          </cell>
          <cell r="F241">
            <v>2727272.7272727271</v>
          </cell>
        </row>
        <row r="242">
          <cell r="B242" t="str">
            <v>Sensor 300 lần đo</v>
          </cell>
          <cell r="C242" t="str">
            <v>cái</v>
          </cell>
          <cell r="D242">
            <v>12</v>
          </cell>
          <cell r="E242">
            <v>4500000</v>
          </cell>
          <cell r="F242">
            <v>4090909.0909090904</v>
          </cell>
        </row>
        <row r="243">
          <cell r="B243" t="str">
            <v>Sensor Co 200 lần đo</v>
          </cell>
          <cell r="C243" t="str">
            <v>cái</v>
          </cell>
          <cell r="D243">
            <v>12</v>
          </cell>
          <cell r="E243">
            <v>4500000</v>
          </cell>
          <cell r="F243">
            <v>4090909.0909090904</v>
          </cell>
        </row>
        <row r="244">
          <cell r="B244" t="str">
            <v>Tất sợi</v>
          </cell>
          <cell r="C244" t="str">
            <v xml:space="preserve">đôi </v>
          </cell>
          <cell r="D244">
            <v>6</v>
          </cell>
          <cell r="E244">
            <v>7000</v>
          </cell>
          <cell r="F244">
            <v>6363.6363636363631</v>
          </cell>
        </row>
        <row r="245">
          <cell r="B245" t="str">
            <v>Tủ đựng tài liệu</v>
          </cell>
          <cell r="C245" t="str">
            <v xml:space="preserve">cái </v>
          </cell>
          <cell r="D245">
            <v>96</v>
          </cell>
          <cell r="E245">
            <v>1000000</v>
          </cell>
          <cell r="F245">
            <v>909090.90909090906</v>
          </cell>
        </row>
        <row r="246">
          <cell r="B246" t="str">
            <v>Túi CO</v>
          </cell>
          <cell r="C246" t="str">
            <v>cái</v>
          </cell>
          <cell r="D246">
            <v>12</v>
          </cell>
          <cell r="E246">
            <v>30000</v>
          </cell>
          <cell r="F246">
            <v>27272.727272727272</v>
          </cell>
        </row>
        <row r="247">
          <cell r="B247" t="str">
            <v>Tuyp Graphit</v>
          </cell>
          <cell r="C247" t="str">
            <v xml:space="preserve">cái </v>
          </cell>
          <cell r="D247">
            <v>2</v>
          </cell>
          <cell r="E247">
            <v>1000000</v>
          </cell>
          <cell r="F247">
            <v>909090.90909090906</v>
          </cell>
        </row>
        <row r="248">
          <cell r="B248" t="str">
            <v>Thumber</v>
          </cell>
          <cell r="C248" t="str">
            <v>hộp</v>
          </cell>
          <cell r="D248">
            <v>10</v>
          </cell>
          <cell r="E248">
            <v>1500000</v>
          </cell>
          <cell r="F248">
            <v>1363636.3636363635</v>
          </cell>
        </row>
        <row r="249">
          <cell r="B249" t="str">
            <v>Thùng đựng chai lấy mẫu</v>
          </cell>
          <cell r="C249" t="str">
            <v>cái</v>
          </cell>
          <cell r="D249">
            <v>6</v>
          </cell>
          <cell r="E249">
            <v>500000</v>
          </cell>
          <cell r="F249">
            <v>454545.45454545453</v>
          </cell>
        </row>
        <row r="250">
          <cell r="B250" t="str">
            <v>Thùng đựng và bảo quản mẫu</v>
          </cell>
          <cell r="C250" t="str">
            <v>cái</v>
          </cell>
          <cell r="D250">
            <v>6</v>
          </cell>
          <cell r="E250">
            <v>800000</v>
          </cell>
          <cell r="F250">
            <v>727272.72727272718</v>
          </cell>
        </row>
        <row r="251">
          <cell r="B251" t="str">
            <v>Thùng chứa mẫu</v>
          </cell>
          <cell r="C251" t="str">
            <v>cái</v>
          </cell>
          <cell r="D251">
            <v>6</v>
          </cell>
          <cell r="E251">
            <v>500000</v>
          </cell>
          <cell r="F251">
            <v>454545.45454545453</v>
          </cell>
        </row>
        <row r="252">
          <cell r="B252" t="str">
            <v>Ủng</v>
          </cell>
          <cell r="C252" t="str">
            <v xml:space="preserve">đôi </v>
          </cell>
          <cell r="D252">
            <v>12</v>
          </cell>
          <cell r="E252">
            <v>44000</v>
          </cell>
          <cell r="F252">
            <v>40000</v>
          </cell>
        </row>
        <row r="253">
          <cell r="B253" t="str">
            <v>Van Dorn Sampler thể tích 2 lít</v>
          </cell>
          <cell r="C253" t="str">
            <v>cái</v>
          </cell>
          <cell r="D253">
            <v>24</v>
          </cell>
          <cell r="E253">
            <v>2500000</v>
          </cell>
          <cell r="F253">
            <v>2272727.2727272725</v>
          </cell>
        </row>
        <row r="254">
          <cell r="B254" t="str">
            <v>Van Dorn Sampler thể tích 5 lít</v>
          </cell>
          <cell r="C254" t="str">
            <v>cái</v>
          </cell>
          <cell r="D254">
            <v>24</v>
          </cell>
          <cell r="E254">
            <v>2800000</v>
          </cell>
          <cell r="F254">
            <v>2545454.5454545454</v>
          </cell>
        </row>
        <row r="255">
          <cell r="B255" t="str">
            <v>Xô chứa dung dịch sục khí</v>
          </cell>
          <cell r="C255" t="str">
            <v>cái</v>
          </cell>
          <cell r="D255">
            <v>24</v>
          </cell>
          <cell r="E255">
            <v>30000</v>
          </cell>
          <cell r="F255">
            <v>27272.727272727272</v>
          </cell>
        </row>
        <row r="256">
          <cell r="B256" t="str">
            <v>Quartz torches</v>
          </cell>
          <cell r="C256" t="str">
            <v>cái</v>
          </cell>
          <cell r="D256">
            <v>12</v>
          </cell>
          <cell r="E256">
            <v>12000000</v>
          </cell>
          <cell r="F256">
            <v>10909090.909090908</v>
          </cell>
        </row>
        <row r="257">
          <cell r="B257" t="str">
            <v>Ống lấy mẫu</v>
          </cell>
          <cell r="C257" t="str">
            <v>Cái</v>
          </cell>
          <cell r="D257">
            <v>18</v>
          </cell>
          <cell r="E257">
            <v>45000000</v>
          </cell>
          <cell r="F257">
            <v>40909090.909090906</v>
          </cell>
        </row>
        <row r="258">
          <cell r="B258" t="str">
            <v>Hộp gia nhiệt</v>
          </cell>
          <cell r="C258" t="str">
            <v>Hộp</v>
          </cell>
          <cell r="D258">
            <v>18</v>
          </cell>
          <cell r="E258">
            <v>25000000</v>
          </cell>
          <cell r="F258">
            <v>22727272.727272727</v>
          </cell>
        </row>
        <row r="259">
          <cell r="B259" t="str">
            <v>Hệ thống làm mát</v>
          </cell>
          <cell r="C259" t="str">
            <v>Bộ</v>
          </cell>
          <cell r="D259">
            <v>18</v>
          </cell>
          <cell r="E259">
            <v>25000000</v>
          </cell>
          <cell r="F259">
            <v>22727272.727272727</v>
          </cell>
        </row>
        <row r="260">
          <cell r="B260" t="str">
            <v>Ống pitot</v>
          </cell>
          <cell r="C260" t="str">
            <v>cái</v>
          </cell>
          <cell r="D260">
            <v>12</v>
          </cell>
          <cell r="E260">
            <v>20000000</v>
          </cell>
          <cell r="F260">
            <v>18181818.18181818</v>
          </cell>
        </row>
        <row r="261">
          <cell r="B261" t="str">
            <v>Dây nối</v>
          </cell>
          <cell r="C261" t="str">
            <v>cái</v>
          </cell>
          <cell r="D261">
            <v>12</v>
          </cell>
          <cell r="E261">
            <v>250000</v>
          </cell>
          <cell r="F261">
            <v>227272.72727272726</v>
          </cell>
        </row>
        <row r="262">
          <cell r="B262" t="str">
            <v>Sensor O2</v>
          </cell>
          <cell r="C262" t="str">
            <v>cái</v>
          </cell>
          <cell r="D262">
            <v>12</v>
          </cell>
          <cell r="E262">
            <v>35000000</v>
          </cell>
          <cell r="F262">
            <v>31818181.818181816</v>
          </cell>
        </row>
        <row r="263">
          <cell r="B263" t="str">
            <v xml:space="preserve">Acqui </v>
          </cell>
          <cell r="C263" t="str">
            <v>bộ</v>
          </cell>
          <cell r="D263">
            <v>18</v>
          </cell>
          <cell r="E263">
            <v>4000000</v>
          </cell>
          <cell r="F263">
            <v>3636363.6363636362</v>
          </cell>
        </row>
        <row r="264">
          <cell r="B264" t="str">
            <v>Sensor CO</v>
          </cell>
          <cell r="C264" t="str">
            <v>cái</v>
          </cell>
          <cell r="D264">
            <v>12</v>
          </cell>
          <cell r="E264">
            <v>25000000</v>
          </cell>
          <cell r="F264">
            <v>22727272.727272727</v>
          </cell>
        </row>
        <row r="265">
          <cell r="B265" t="str">
            <v>Sensor CO2</v>
          </cell>
          <cell r="C265" t="str">
            <v>cái</v>
          </cell>
          <cell r="D265">
            <v>12</v>
          </cell>
          <cell r="E265">
            <v>30000000</v>
          </cell>
          <cell r="F265">
            <v>27272727.27272727</v>
          </cell>
        </row>
        <row r="266">
          <cell r="B266" t="str">
            <v>Sensor NO</v>
          </cell>
          <cell r="C266" t="str">
            <v>cái</v>
          </cell>
          <cell r="D266">
            <v>12</v>
          </cell>
          <cell r="E266">
            <v>40000000</v>
          </cell>
          <cell r="F266">
            <v>36363636.36363636</v>
          </cell>
        </row>
        <row r="267">
          <cell r="B267" t="str">
            <v>Sensor NO2</v>
          </cell>
          <cell r="C267" t="str">
            <v>cái</v>
          </cell>
          <cell r="D267">
            <v>12</v>
          </cell>
          <cell r="E267">
            <v>35000000</v>
          </cell>
          <cell r="F267">
            <v>31818181.818181816</v>
          </cell>
        </row>
        <row r="268">
          <cell r="B268" t="str">
            <v>Sensor NOx</v>
          </cell>
          <cell r="C268" t="str">
            <v>cái</v>
          </cell>
          <cell r="D268">
            <v>12</v>
          </cell>
          <cell r="E268">
            <v>45000000</v>
          </cell>
          <cell r="F268">
            <v>40909090.909090906</v>
          </cell>
        </row>
        <row r="269">
          <cell r="B269" t="str">
            <v>Sensor SO2</v>
          </cell>
          <cell r="C269" t="str">
            <v>cái</v>
          </cell>
          <cell r="D269">
            <v>12</v>
          </cell>
          <cell r="E269">
            <v>38500000</v>
          </cell>
          <cell r="F269">
            <v>35000000</v>
          </cell>
        </row>
        <row r="270">
          <cell r="B270" t="str">
            <v>Khay hứng chuyên dụng</v>
          </cell>
          <cell r="C270" t="str">
            <v>cái</v>
          </cell>
          <cell r="D270">
            <v>3</v>
          </cell>
          <cell r="E270">
            <v>30000000</v>
          </cell>
          <cell r="F270">
            <v>27272727.27272727</v>
          </cell>
        </row>
        <row r="271">
          <cell r="B271" t="str">
            <v>Can nhựa 20l</v>
          </cell>
          <cell r="C271" t="str">
            <v>cái</v>
          </cell>
          <cell r="D271">
            <v>36</v>
          </cell>
          <cell r="E271">
            <v>30000</v>
          </cell>
          <cell r="F271">
            <v>27272.727272727272</v>
          </cell>
        </row>
        <row r="272">
          <cell r="B272" t="str">
            <v>Can nhựa 10l</v>
          </cell>
          <cell r="C272" t="str">
            <v>cái</v>
          </cell>
          <cell r="D272">
            <v>36</v>
          </cell>
          <cell r="E272">
            <v>25000</v>
          </cell>
          <cell r="F272">
            <v>22727.272727272724</v>
          </cell>
        </row>
        <row r="273">
          <cell r="B273" t="str">
            <v>Can nhựa 5l</v>
          </cell>
          <cell r="C273" t="str">
            <v>cái</v>
          </cell>
          <cell r="D273">
            <v>36</v>
          </cell>
          <cell r="E273">
            <v>12000</v>
          </cell>
          <cell r="F273">
            <v>10909.090909090908</v>
          </cell>
        </row>
        <row r="274">
          <cell r="B274" t="str">
            <v>Can nhựa 200l</v>
          </cell>
          <cell r="C274" t="str">
            <v>cái</v>
          </cell>
          <cell r="D274">
            <v>36</v>
          </cell>
          <cell r="E274">
            <v>120000</v>
          </cell>
          <cell r="F274">
            <v>109090.90909090909</v>
          </cell>
        </row>
        <row r="275">
          <cell r="B275" t="str">
            <v>Đèn chiếu sáng 40W</v>
          </cell>
          <cell r="C275" t="str">
            <v>Bộ</v>
          </cell>
          <cell r="D275">
            <v>36</v>
          </cell>
          <cell r="E275">
            <v>80000</v>
          </cell>
          <cell r="F275">
            <v>72727.272727272721</v>
          </cell>
        </row>
        <row r="276">
          <cell r="B276" t="str">
            <v>Thùng nhựa 120l</v>
          </cell>
          <cell r="C276" t="str">
            <v>cái</v>
          </cell>
          <cell r="D276">
            <v>36</v>
          </cell>
          <cell r="E276">
            <v>450000</v>
          </cell>
          <cell r="F276">
            <v>409090.90909090906</v>
          </cell>
        </row>
        <row r="277">
          <cell r="B277" t="str">
            <v>Cốc nung</v>
          </cell>
          <cell r="C277" t="str">
            <v xml:space="preserve">cái </v>
          </cell>
          <cell r="D277">
            <v>6</v>
          </cell>
          <cell r="E277">
            <v>30000</v>
          </cell>
          <cell r="F277">
            <v>27272.727272727272</v>
          </cell>
        </row>
        <row r="278">
          <cell r="B278" t="str">
            <v>Đầu cone lml</v>
          </cell>
          <cell r="C278" t="str">
            <v>cái</v>
          </cell>
          <cell r="D278">
            <v>1</v>
          </cell>
          <cell r="E278">
            <v>3000</v>
          </cell>
          <cell r="F278">
            <v>2727.272727272727</v>
          </cell>
        </row>
        <row r="279">
          <cell r="B279" t="str">
            <v>Bơm khí H2 cho máy GC</v>
          </cell>
          <cell r="C279" t="str">
            <v>Cái</v>
          </cell>
          <cell r="D279">
            <v>32</v>
          </cell>
          <cell r="E279">
            <v>9500000</v>
          </cell>
          <cell r="F279">
            <v>8636363.6363636348</v>
          </cell>
        </row>
        <row r="280">
          <cell r="B280" t="str">
            <v>Bơm khí N2 cho máy GC</v>
          </cell>
          <cell r="C280" t="str">
            <v>Cái</v>
          </cell>
          <cell r="D280">
            <v>32</v>
          </cell>
          <cell r="E280">
            <v>24970000</v>
          </cell>
          <cell r="F280">
            <v>22700000</v>
          </cell>
        </row>
        <row r="281">
          <cell r="B281" t="str">
            <v>Phễu chiết 100ml</v>
          </cell>
          <cell r="C281" t="str">
            <v>cái</v>
          </cell>
          <cell r="D281">
            <v>6</v>
          </cell>
          <cell r="E281">
            <v>700000</v>
          </cell>
          <cell r="F281">
            <v>636363.63636363635</v>
          </cell>
        </row>
        <row r="282">
          <cell r="B282" t="str">
            <v>Phễu chiết 250ml</v>
          </cell>
          <cell r="C282" t="str">
            <v>Cái</v>
          </cell>
          <cell r="D282">
            <v>6</v>
          </cell>
          <cell r="E282">
            <v>1250000</v>
          </cell>
          <cell r="F282">
            <v>1136363.6363636362</v>
          </cell>
        </row>
        <row r="283">
          <cell r="B283" t="str">
            <v xml:space="preserve">Ống than hoạt tính ORBO 32 </v>
          </cell>
          <cell r="C283" t="str">
            <v>Ống</v>
          </cell>
          <cell r="D283">
            <v>1</v>
          </cell>
          <cell r="E283">
            <v>5000000</v>
          </cell>
          <cell r="F283">
            <v>4545454.5454545449</v>
          </cell>
        </row>
        <row r="284">
          <cell r="B284" t="str">
            <v>Tú lấy mẫu khí</v>
          </cell>
          <cell r="C284" t="str">
            <v>cái</v>
          </cell>
          <cell r="D284">
            <v>3</v>
          </cell>
          <cell r="E284">
            <v>500000</v>
          </cell>
          <cell r="F284">
            <v>454545.45454545453</v>
          </cell>
        </row>
        <row r="285">
          <cell r="B285" t="str">
            <v>Bản đồ địa hình</v>
          </cell>
          <cell r="C285" t="str">
            <v>cái</v>
          </cell>
          <cell r="D285">
            <v>3</v>
          </cell>
          <cell r="E285">
            <v>70000</v>
          </cell>
          <cell r="F285">
            <v>63636.363636363632</v>
          </cell>
        </row>
        <row r="286">
          <cell r="B286" t="str">
            <v xml:space="preserve">Cần lấy mẫu </v>
          </cell>
          <cell r="C286" t="str">
            <v>cái</v>
          </cell>
          <cell r="D286">
            <v>12</v>
          </cell>
          <cell r="E286">
            <v>25000000</v>
          </cell>
          <cell r="F286">
            <v>22727272.727272727</v>
          </cell>
        </row>
        <row r="287">
          <cell r="B287" t="str">
            <v>Ống impinger</v>
          </cell>
          <cell r="C287" t="str">
            <v>cái</v>
          </cell>
          <cell r="D287">
            <v>12</v>
          </cell>
          <cell r="E287">
            <v>1600000</v>
          </cell>
          <cell r="F287">
            <v>1454545.4545454544</v>
          </cell>
        </row>
        <row r="288">
          <cell r="B288" t="str">
            <v xml:space="preserve">Hệ thống van </v>
          </cell>
          <cell r="C288" t="str">
            <v>cái</v>
          </cell>
          <cell r="D288">
            <v>12</v>
          </cell>
          <cell r="E288">
            <v>35000000</v>
          </cell>
          <cell r="F288">
            <v>31818181.818181816</v>
          </cell>
        </row>
        <row r="289">
          <cell r="B289" t="str">
            <v xml:space="preserve">Hệ lấy mẫu nước </v>
          </cell>
          <cell r="C289" t="str">
            <v>bộ</v>
          </cell>
          <cell r="D289">
            <v>24</v>
          </cell>
          <cell r="E289">
            <v>1500000</v>
          </cell>
          <cell r="F289">
            <v>1363636.3636363635</v>
          </cell>
        </row>
        <row r="290">
          <cell r="B290" t="str">
            <v xml:space="preserve">Đồng hồ đo: thể tích, lưu lượng và chân không </v>
          </cell>
          <cell r="C290" t="str">
            <v>cái</v>
          </cell>
          <cell r="D290">
            <v>12</v>
          </cell>
          <cell r="E290">
            <v>80000000</v>
          </cell>
          <cell r="F290">
            <v>72727272.727272719</v>
          </cell>
        </row>
        <row r="291">
          <cell r="B291" t="str">
            <v xml:space="preserve">Đầu dò lấy mẫu </v>
          </cell>
          <cell r="C291" t="str">
            <v>cái</v>
          </cell>
          <cell r="D291">
            <v>2</v>
          </cell>
          <cell r="E291">
            <v>35000000</v>
          </cell>
          <cell r="F291">
            <v>31818181.818181816</v>
          </cell>
        </row>
        <row r="292">
          <cell r="B292" t="str">
            <v>Thước dây</v>
          </cell>
          <cell r="C292" t="str">
            <v>Cái</v>
          </cell>
          <cell r="D292">
            <v>12</v>
          </cell>
          <cell r="E292">
            <v>180000</v>
          </cell>
          <cell r="F292">
            <v>163636.36363636362</v>
          </cell>
        </row>
        <row r="293">
          <cell r="B293" t="str">
            <v>Kính bảo hộ</v>
          </cell>
          <cell r="C293" t="str">
            <v>Cái</v>
          </cell>
          <cell r="D293">
            <v>12</v>
          </cell>
          <cell r="E293">
            <v>30000</v>
          </cell>
          <cell r="F293">
            <v>27272.727272727272</v>
          </cell>
        </row>
        <row r="294">
          <cell r="B294" t="str">
            <v>Kẹp khớp nối</v>
          </cell>
          <cell r="C294" t="str">
            <v>Cái</v>
          </cell>
          <cell r="D294">
            <v>12</v>
          </cell>
          <cell r="E294">
            <v>1000000</v>
          </cell>
          <cell r="F294">
            <v>909090.90909090906</v>
          </cell>
        </row>
        <row r="295">
          <cell r="B295" t="str">
            <v>Ferrule 0.45</v>
          </cell>
          <cell r="C295">
            <v>0</v>
          </cell>
          <cell r="D295">
            <v>3</v>
          </cell>
          <cell r="E295">
            <v>650000</v>
          </cell>
          <cell r="F295">
            <v>590909.09090909082</v>
          </cell>
        </row>
        <row r="296">
          <cell r="B296" t="str">
            <v>Đầu lấy mẫu</v>
          </cell>
          <cell r="C296" t="str">
            <v>Cái</v>
          </cell>
          <cell r="D296">
            <v>18</v>
          </cell>
          <cell r="E296">
            <v>2500000</v>
          </cell>
          <cell r="F296">
            <v>2272727.2727272725</v>
          </cell>
        </row>
        <row r="297">
          <cell r="B297" t="str">
            <v>Ống lấy mẫu</v>
          </cell>
          <cell r="C297" t="str">
            <v>Cái</v>
          </cell>
          <cell r="D297">
            <v>18</v>
          </cell>
          <cell r="E297">
            <v>45000000</v>
          </cell>
          <cell r="F297">
            <v>40909090.909090906</v>
          </cell>
        </row>
        <row r="298">
          <cell r="B298" t="str">
            <v>Bộ lưu giữ dung dung dịch hấp thụ</v>
          </cell>
          <cell r="C298" t="str">
            <v>Bộ</v>
          </cell>
          <cell r="D298">
            <v>12</v>
          </cell>
          <cell r="E298">
            <v>10000000</v>
          </cell>
          <cell r="F298">
            <v>9090909.0909090899</v>
          </cell>
        </row>
        <row r="299">
          <cell r="B299" t="str">
            <v>Hộp gia nhiệt</v>
          </cell>
          <cell r="C299" t="str">
            <v>Hộp</v>
          </cell>
          <cell r="D299">
            <v>18</v>
          </cell>
          <cell r="E299">
            <v>25000000</v>
          </cell>
          <cell r="F299">
            <v>22727272.727272727</v>
          </cell>
        </row>
        <row r="300">
          <cell r="B300" t="str">
            <v xml:space="preserve">Acqui </v>
          </cell>
          <cell r="C300" t="str">
            <v>Bộ</v>
          </cell>
          <cell r="D300">
            <v>18</v>
          </cell>
          <cell r="E300">
            <v>4000000</v>
          </cell>
          <cell r="F300">
            <v>3636363.6363636362</v>
          </cell>
        </row>
        <row r="301">
          <cell r="B301" t="str">
            <v>Bộ dụng cụ thu hồi mẫu</v>
          </cell>
          <cell r="C301" t="str">
            <v>Bộ</v>
          </cell>
          <cell r="D301">
            <v>18</v>
          </cell>
          <cell r="E301">
            <v>10000000</v>
          </cell>
          <cell r="F301">
            <v>9090909.0909090899</v>
          </cell>
        </row>
        <row r="302">
          <cell r="B302" t="str">
            <v>Thước dây</v>
          </cell>
          <cell r="C302" t="str">
            <v>Cái</v>
          </cell>
          <cell r="D302">
            <v>12</v>
          </cell>
          <cell r="E302">
            <v>180000</v>
          </cell>
          <cell r="F302">
            <v>163636.36363636362</v>
          </cell>
        </row>
        <row r="303">
          <cell r="B303" t="str">
            <v>Kẹp khớp nối</v>
          </cell>
          <cell r="C303" t="str">
            <v>Bộ</v>
          </cell>
          <cell r="D303">
            <v>12</v>
          </cell>
          <cell r="E303">
            <v>1000000</v>
          </cell>
          <cell r="F303">
            <v>909090.90909090906</v>
          </cell>
        </row>
        <row r="304">
          <cell r="B304" t="str">
            <v>Bình tia</v>
          </cell>
          <cell r="C304" t="str">
            <v>Bình</v>
          </cell>
          <cell r="D304">
            <v>36</v>
          </cell>
          <cell r="E304">
            <v>110000</v>
          </cell>
          <cell r="F304">
            <v>99999.999999999985</v>
          </cell>
        </row>
        <row r="305">
          <cell r="B305" t="str">
            <v>Bộ dây nối</v>
          </cell>
          <cell r="C305" t="str">
            <v>Bộ</v>
          </cell>
          <cell r="D305">
            <v>12</v>
          </cell>
          <cell r="E305">
            <v>40000000</v>
          </cell>
          <cell r="F305">
            <v>36363636.36363636</v>
          </cell>
        </row>
        <row r="306">
          <cell r="B306" t="str">
            <v>Bộ ống hấp thụ</v>
          </cell>
          <cell r="C306" t="str">
            <v>Bộ</v>
          </cell>
          <cell r="D306">
            <v>12</v>
          </cell>
          <cell r="E306">
            <v>20000000</v>
          </cell>
          <cell r="F306">
            <v>18181818.18181818</v>
          </cell>
        </row>
        <row r="307">
          <cell r="B307" t="str">
            <v>Quần áo BHLĐ</v>
          </cell>
          <cell r="C307" t="str">
            <v>bộ</v>
          </cell>
          <cell r="D307">
            <v>12</v>
          </cell>
          <cell r="E307">
            <v>50000</v>
          </cell>
          <cell r="F307">
            <v>45454.545454545449</v>
          </cell>
        </row>
        <row r="308">
          <cell r="B308" t="str">
            <v>Lọ thủy tinh  Ф 150h300</v>
          </cell>
          <cell r="C308" t="str">
            <v>cái</v>
          </cell>
          <cell r="D308">
            <v>6</v>
          </cell>
          <cell r="E308">
            <v>100000</v>
          </cell>
          <cell r="F308">
            <v>90909.090909090897</v>
          </cell>
        </row>
        <row r="309">
          <cell r="B309" t="str">
            <v>Bộ tách ẩm</v>
          </cell>
          <cell r="D309">
            <v>18</v>
          </cell>
          <cell r="E309">
            <v>30000000</v>
          </cell>
          <cell r="F309">
            <v>27272727.27272727</v>
          </cell>
        </row>
        <row r="310">
          <cell r="B310" t="str">
            <v>Trap hấp phụ Hg 1</v>
          </cell>
          <cell r="C310">
            <v>0</v>
          </cell>
          <cell r="D310">
            <v>6</v>
          </cell>
          <cell r="E310">
            <v>1500000</v>
          </cell>
          <cell r="F310">
            <v>1363636.3636363635</v>
          </cell>
        </row>
        <row r="311">
          <cell r="B311" t="str">
            <v>Trap hấp phụ Hg 2</v>
          </cell>
          <cell r="C311">
            <v>0</v>
          </cell>
          <cell r="D311">
            <v>6</v>
          </cell>
          <cell r="E311">
            <v>1500000</v>
          </cell>
          <cell r="F311">
            <v>1363636.3636363635</v>
          </cell>
        </row>
        <row r="312">
          <cell r="B312" t="str">
            <v>Millex-LH 13mm Philic PTFE .45µm Non-sterile IC-Certified 100/pk</v>
          </cell>
          <cell r="C312" t="str">
            <v>cái</v>
          </cell>
          <cell r="D312">
            <v>1</v>
          </cell>
          <cell r="E312">
            <v>62000</v>
          </cell>
          <cell r="F312">
            <v>56363.63636363636</v>
          </cell>
        </row>
        <row r="313">
          <cell r="B313" t="str">
            <v>Cột khử Cadimi</v>
          </cell>
          <cell r="C313" t="str">
            <v>Cái</v>
          </cell>
          <cell r="D313">
            <v>6</v>
          </cell>
          <cell r="E313">
            <v>2000000</v>
          </cell>
          <cell r="F313">
            <v>1818181.8181818181</v>
          </cell>
        </row>
        <row r="314">
          <cell r="B314" t="str">
            <v>Pipet pasteur, thủy tinh trung tính, 23 cm</v>
          </cell>
          <cell r="C314" t="str">
            <v>Cái</v>
          </cell>
          <cell r="D314">
            <v>1</v>
          </cell>
          <cell r="E314">
            <v>4000</v>
          </cell>
          <cell r="F314">
            <v>3636.363636363636</v>
          </cell>
        </row>
        <row r="315">
          <cell r="B315" t="str">
            <v>Lọ thủy tinh màu nâu, loại 2 mL, nắp dập và nắp dập có đệm PTFE</v>
          </cell>
          <cell r="C315" t="str">
            <v>Cái</v>
          </cell>
          <cell r="D315">
            <v>12</v>
          </cell>
          <cell r="E315">
            <v>15000</v>
          </cell>
          <cell r="F315">
            <v>13636.363636363636</v>
          </cell>
        </row>
        <row r="316">
          <cell r="B316" t="str">
            <v>Ống mao quản thủy tinh, loại 0,1 mL, có đệm nhựa dùng với lọ thủy tinh 2 mL</v>
          </cell>
          <cell r="C316" t="str">
            <v>Cái</v>
          </cell>
          <cell r="D316">
            <v>1</v>
          </cell>
          <cell r="E316">
            <v>30000</v>
          </cell>
          <cell r="F316">
            <v>27272.727272727272</v>
          </cell>
        </row>
        <row r="317">
          <cell r="B317" t="str">
            <v>cốc cân</v>
          </cell>
          <cell r="C317" t="str">
            <v>cái</v>
          </cell>
          <cell r="D317">
            <v>6</v>
          </cell>
          <cell r="E317">
            <v>25000</v>
          </cell>
          <cell r="F317">
            <v>22727.272727272724</v>
          </cell>
        </row>
      </sheetData>
      <sheetData sheetId="1">
        <row r="3">
          <cell r="B3" t="str">
            <v>(NaPO3)6</v>
          </cell>
          <cell r="C3" t="str">
            <v>Gam</v>
          </cell>
          <cell r="E3">
            <v>1000</v>
          </cell>
          <cell r="F3">
            <v>909.09090909090901</v>
          </cell>
        </row>
        <row r="4">
          <cell r="B4" t="str">
            <v>4-hydroxy benzoate (C7H4O3)</v>
          </cell>
          <cell r="C4" t="str">
            <v>gam</v>
          </cell>
          <cell r="E4">
            <v>12000</v>
          </cell>
          <cell r="F4">
            <v>10909.090909090908</v>
          </cell>
        </row>
        <row r="5">
          <cell r="B5" t="str">
            <v>(NH4)2Fe(SO4)2.6H2O</v>
          </cell>
          <cell r="C5" t="str">
            <v>gam</v>
          </cell>
          <cell r="E5">
            <v>3000</v>
          </cell>
          <cell r="F5">
            <v>2727.272727272727</v>
          </cell>
        </row>
        <row r="6">
          <cell r="B6" t="str">
            <v>(NH4)2SO4</v>
          </cell>
          <cell r="C6" t="str">
            <v>gam</v>
          </cell>
          <cell r="E6">
            <v>520</v>
          </cell>
          <cell r="F6">
            <v>472.72727272727269</v>
          </cell>
        </row>
        <row r="7">
          <cell r="B7" t="str">
            <v>(NH4)6Mo7O24.4H2O</v>
          </cell>
          <cell r="C7" t="str">
            <v>gam</v>
          </cell>
          <cell r="E7">
            <v>2920</v>
          </cell>
          <cell r="F7">
            <v>2654.5454545454545</v>
          </cell>
        </row>
        <row r="8">
          <cell r="B8" t="str">
            <v>4-Amino-Antypyrin</v>
          </cell>
          <cell r="C8" t="str">
            <v>Gram</v>
          </cell>
          <cell r="E8">
            <v>24000</v>
          </cell>
          <cell r="F8">
            <v>21818.181818181816</v>
          </cell>
        </row>
        <row r="9">
          <cell r="B9" t="str">
            <v>Aceton</v>
          </cell>
          <cell r="C9" t="str">
            <v>ml</v>
          </cell>
          <cell r="E9">
            <v>400</v>
          </cell>
          <cell r="F9">
            <v>363.63636363636363</v>
          </cell>
        </row>
        <row r="10">
          <cell r="B10" t="str">
            <v>Acetonitrite</v>
          </cell>
          <cell r="C10" t="str">
            <v>ml</v>
          </cell>
          <cell r="E10">
            <v>1200</v>
          </cell>
          <cell r="F10">
            <v>1090.9090909090908</v>
          </cell>
        </row>
        <row r="11">
          <cell r="B11" t="str">
            <v>A-dinitrophenol</v>
          </cell>
          <cell r="C11" t="str">
            <v>Gam</v>
          </cell>
          <cell r="E11">
            <v>41500</v>
          </cell>
          <cell r="F11">
            <v>37727.272727272721</v>
          </cell>
        </row>
        <row r="12">
          <cell r="B12" t="str">
            <v>a-dipyridin</v>
          </cell>
          <cell r="C12" t="str">
            <v>Gam</v>
          </cell>
          <cell r="E12">
            <v>225000</v>
          </cell>
          <cell r="F12">
            <v>204545.45454545453</v>
          </cell>
        </row>
        <row r="13">
          <cell r="B13" t="str">
            <v>Ag2SO4</v>
          </cell>
          <cell r="C13" t="str">
            <v>Gam</v>
          </cell>
          <cell r="E13">
            <v>160000</v>
          </cell>
          <cell r="F13">
            <v>145454.54545454544</v>
          </cell>
        </row>
        <row r="14">
          <cell r="B14" t="str">
            <v>AgNO3</v>
          </cell>
          <cell r="C14" t="str">
            <v>gam</v>
          </cell>
          <cell r="E14">
            <v>128000</v>
          </cell>
          <cell r="F14">
            <v>116363.63636363635</v>
          </cell>
        </row>
        <row r="15">
          <cell r="B15" t="str">
            <v>Al(NO3)3</v>
          </cell>
          <cell r="C15" t="str">
            <v>ml</v>
          </cell>
          <cell r="E15">
            <v>3200</v>
          </cell>
          <cell r="F15">
            <v>2909.090909090909</v>
          </cell>
        </row>
        <row r="16">
          <cell r="B16" t="str">
            <v>Ammonium pyrrolidinedithiocarbamate (APDC)</v>
          </cell>
          <cell r="C16" t="str">
            <v>Gam</v>
          </cell>
          <cell r="E16">
            <v>110400</v>
          </cell>
          <cell r="F16">
            <v>100363.63636363635</v>
          </cell>
        </row>
        <row r="17">
          <cell r="B17" t="str">
            <v>AMP</v>
          </cell>
          <cell r="C17" t="str">
            <v>gram</v>
          </cell>
          <cell r="E17">
            <v>2400</v>
          </cell>
          <cell r="F17">
            <v>2181.8181818181815</v>
          </cell>
        </row>
        <row r="18">
          <cell r="B18" t="str">
            <v>a-Naphtylamin</v>
          </cell>
          <cell r="C18" t="str">
            <v>Gam</v>
          </cell>
          <cell r="E18">
            <v>125000</v>
          </cell>
          <cell r="F18">
            <v>113636.36363636363</v>
          </cell>
        </row>
        <row r="19">
          <cell r="B19" t="str">
            <v>Axít acetic</v>
          </cell>
          <cell r="C19" t="str">
            <v>ml</v>
          </cell>
          <cell r="E19">
            <v>575</v>
          </cell>
          <cell r="F19">
            <v>522.72727272727263</v>
          </cell>
        </row>
        <row r="20">
          <cell r="B20" t="str">
            <v>Axit ascorbic</v>
          </cell>
          <cell r="C20" t="str">
            <v>ml</v>
          </cell>
          <cell r="E20">
            <v>405</v>
          </cell>
          <cell r="F20">
            <v>368.18181818181813</v>
          </cell>
        </row>
        <row r="21">
          <cell r="B21" t="str">
            <v>Axit Bacbituric</v>
          </cell>
          <cell r="C21" t="str">
            <v>gam</v>
          </cell>
          <cell r="E21">
            <v>32000</v>
          </cell>
          <cell r="F21">
            <v>29090.909090909088</v>
          </cell>
        </row>
        <row r="22">
          <cell r="B22" t="str">
            <v>Axit glutamic</v>
          </cell>
          <cell r="C22" t="str">
            <v>gam</v>
          </cell>
          <cell r="E22">
            <v>1400</v>
          </cell>
          <cell r="F22">
            <v>1272.7272727272725</v>
          </cell>
        </row>
        <row r="23">
          <cell r="B23" t="str">
            <v>Axit oxalic</v>
          </cell>
          <cell r="C23" t="str">
            <v>gam</v>
          </cell>
          <cell r="E23">
            <v>1600</v>
          </cell>
          <cell r="F23">
            <v>1454.5454545454545</v>
          </cell>
        </row>
        <row r="24">
          <cell r="B24" t="str">
            <v>Axit phenoldisulfonic</v>
          </cell>
          <cell r="C24" t="str">
            <v>ml</v>
          </cell>
          <cell r="E24">
            <v>11200</v>
          </cell>
          <cell r="F24">
            <v>10181.81818181818</v>
          </cell>
        </row>
        <row r="25">
          <cell r="B25" t="str">
            <v>Axit sulphamic</v>
          </cell>
          <cell r="C25" t="str">
            <v>gam</v>
          </cell>
          <cell r="E25">
            <v>1500</v>
          </cell>
          <cell r="F25">
            <v>1363.6363636363635</v>
          </cell>
        </row>
        <row r="26">
          <cell r="B26" t="str">
            <v>Axít sulphanilic</v>
          </cell>
          <cell r="C26" t="str">
            <v>gam</v>
          </cell>
          <cell r="E26">
            <v>8400</v>
          </cell>
          <cell r="F26">
            <v>7636.363636363636</v>
          </cell>
        </row>
        <row r="27">
          <cell r="B27" t="str">
            <v>Đĩa điện phân</v>
          </cell>
          <cell r="C27" t="str">
            <v>Cái</v>
          </cell>
          <cell r="E27">
            <v>2500</v>
          </cell>
          <cell r="F27">
            <v>2272.7272727272725</v>
          </cell>
        </row>
        <row r="28">
          <cell r="B28" t="str">
            <v>BaC6Cl2O4</v>
          </cell>
          <cell r="C28" t="str">
            <v>ml</v>
          </cell>
          <cell r="E28">
            <v>460</v>
          </cell>
          <cell r="F28">
            <v>418.18181818181813</v>
          </cell>
        </row>
        <row r="29">
          <cell r="B29" t="str">
            <v>BaCl2</v>
          </cell>
          <cell r="C29" t="str">
            <v>Gam</v>
          </cell>
          <cell r="E29">
            <v>120</v>
          </cell>
          <cell r="F29">
            <v>109.09090909090908</v>
          </cell>
        </row>
        <row r="30">
          <cell r="B30" t="str">
            <v>BaCl2.2H2O</v>
          </cell>
          <cell r="C30" t="str">
            <v>Gam</v>
          </cell>
          <cell r="E30">
            <v>120</v>
          </cell>
          <cell r="F30">
            <v>109.09090909090908</v>
          </cell>
        </row>
        <row r="31">
          <cell r="B31" t="str">
            <v>Bản đồ địa hình</v>
          </cell>
          <cell r="C31" t="str">
            <v>tờ</v>
          </cell>
          <cell r="E31">
            <v>70000</v>
          </cell>
          <cell r="F31">
            <v>63636.363636363632</v>
          </cell>
        </row>
        <row r="32">
          <cell r="B32" t="str">
            <v>Bao đựng mẫu</v>
          </cell>
          <cell r="C32" t="str">
            <v>Cái</v>
          </cell>
          <cell r="E32">
            <v>1500</v>
          </cell>
          <cell r="F32">
            <v>1363.6363636363635</v>
          </cell>
        </row>
        <row r="33">
          <cell r="B33" t="str">
            <v>Băng giấy in</v>
          </cell>
          <cell r="C33" t="str">
            <v>gam</v>
          </cell>
          <cell r="E33">
            <v>60000</v>
          </cell>
          <cell r="F33">
            <v>54545.454545454544</v>
          </cell>
        </row>
        <row r="34">
          <cell r="B34" t="str">
            <v>Sr(NO3)2</v>
          </cell>
          <cell r="C34" t="str">
            <v>gam</v>
          </cell>
          <cell r="E34">
            <v>1000</v>
          </cell>
          <cell r="F34">
            <v>909.09090909090901</v>
          </cell>
        </row>
        <row r="35">
          <cell r="B35" t="str">
            <v>Ba(NO3)2</v>
          </cell>
          <cell r="C35" t="str">
            <v>gam</v>
          </cell>
          <cell r="E35">
            <v>800</v>
          </cell>
          <cell r="F35">
            <v>727.27272727272725</v>
          </cell>
        </row>
        <row r="36">
          <cell r="B36" t="str">
            <v>NH4C2O4</v>
          </cell>
          <cell r="C36" t="str">
            <v>gam</v>
          </cell>
          <cell r="E36">
            <v>600</v>
          </cell>
          <cell r="F36">
            <v>545.45454545454538</v>
          </cell>
        </row>
        <row r="37">
          <cell r="B37" t="str">
            <v>Nhựa trao đổi Anion</v>
          </cell>
          <cell r="C37" t="str">
            <v>gam</v>
          </cell>
          <cell r="E37">
            <v>1100</v>
          </cell>
          <cell r="F37">
            <v>999.99999999999989</v>
          </cell>
        </row>
        <row r="38">
          <cell r="B38" t="str">
            <v>Nhựa trao đổi Cation</v>
          </cell>
          <cell r="C38" t="str">
            <v>gam</v>
          </cell>
          <cell r="E38">
            <v>1100</v>
          </cell>
          <cell r="F38">
            <v>999.99999999999989</v>
          </cell>
        </row>
        <row r="39">
          <cell r="B39" t="str">
            <v>NH4CO3</v>
          </cell>
          <cell r="C39" t="str">
            <v>gam</v>
          </cell>
          <cell r="E39">
            <v>1000</v>
          </cell>
          <cell r="F39">
            <v>909.09090909090901</v>
          </cell>
        </row>
        <row r="40">
          <cell r="B40" t="str">
            <v>Bông</v>
          </cell>
          <cell r="C40" t="str">
            <v>Kg</v>
          </cell>
          <cell r="E40">
            <v>55000</v>
          </cell>
          <cell r="F40">
            <v>49999.999999999993</v>
          </cell>
        </row>
        <row r="41">
          <cell r="B41" t="str">
            <v>Bông thủy tinh</v>
          </cell>
          <cell r="C41" t="str">
            <v>gam</v>
          </cell>
          <cell r="E41">
            <v>1200</v>
          </cell>
          <cell r="F41">
            <v>1090.9090909090908</v>
          </cell>
        </row>
        <row r="42">
          <cell r="B42" t="str">
            <v>Bột Niken</v>
          </cell>
          <cell r="C42" t="str">
            <v>gam</v>
          </cell>
          <cell r="E42">
            <v>575000</v>
          </cell>
          <cell r="F42">
            <v>522727.27272727271</v>
          </cell>
        </row>
        <row r="43">
          <cell r="B43" t="str">
            <v>Bột Pd</v>
          </cell>
          <cell r="C43" t="str">
            <v>gam</v>
          </cell>
          <cell r="E43">
            <v>5500000</v>
          </cell>
          <cell r="F43">
            <v>5000000</v>
          </cell>
        </row>
        <row r="44">
          <cell r="B44" t="str">
            <v xml:space="preserve">Bột Cd </v>
          </cell>
          <cell r="C44" t="str">
            <v>gam</v>
          </cell>
          <cell r="E44">
            <v>30000</v>
          </cell>
          <cell r="F44">
            <v>27272.727272727272</v>
          </cell>
        </row>
        <row r="45">
          <cell r="B45" t="str">
            <v>bột cu</v>
          </cell>
          <cell r="C45" t="str">
            <v>gam</v>
          </cell>
          <cell r="E45">
            <v>700000</v>
          </cell>
          <cell r="F45">
            <v>636363.63636363635</v>
          </cell>
        </row>
        <row r="46">
          <cell r="B46" t="str">
            <v>Bromocresol</v>
          </cell>
          <cell r="C46" t="str">
            <v>ml</v>
          </cell>
          <cell r="E46">
            <v>64000</v>
          </cell>
          <cell r="F46">
            <v>58181.818181818177</v>
          </cell>
        </row>
        <row r="47">
          <cell r="B47" t="str">
            <v>Bromothymol xanh</v>
          </cell>
          <cell r="C47" t="str">
            <v>gam</v>
          </cell>
          <cell r="E47">
            <v>64000</v>
          </cell>
          <cell r="F47">
            <v>58181.818181818177</v>
          </cell>
        </row>
        <row r="48">
          <cell r="B48" t="str">
            <v>Brôm</v>
          </cell>
          <cell r="C48" t="str">
            <v>ml</v>
          </cell>
          <cell r="E48">
            <v>3600</v>
          </cell>
          <cell r="F48">
            <v>3272.7272727272725</v>
          </cell>
        </row>
        <row r="49">
          <cell r="B49" t="str">
            <v>CDTA- C14H22N2O8</v>
          </cell>
          <cell r="C49" t="str">
            <v>gam</v>
          </cell>
          <cell r="E49">
            <v>25000</v>
          </cell>
          <cell r="F49">
            <v>22727.272727272724</v>
          </cell>
        </row>
        <row r="50">
          <cell r="B50" t="str">
            <v>Xenlulo</v>
          </cell>
          <cell r="C50" t="str">
            <v>gam</v>
          </cell>
          <cell r="E50">
            <v>21500</v>
          </cell>
          <cell r="F50">
            <v>19545.454545454544</v>
          </cell>
        </row>
        <row r="51">
          <cell r="B51" t="str">
            <v>C12H8N2.H2O</v>
          </cell>
          <cell r="C51" t="str">
            <v>gam</v>
          </cell>
          <cell r="E51">
            <v>40000</v>
          </cell>
          <cell r="F51">
            <v>36363.63636363636</v>
          </cell>
        </row>
        <row r="52">
          <cell r="B52" t="str">
            <v>C3N3O3Cl2Na.2H2O</v>
          </cell>
          <cell r="C52" t="str">
            <v>gam</v>
          </cell>
          <cell r="E52">
            <v>130000</v>
          </cell>
          <cell r="F52">
            <v>118181.81818181818</v>
          </cell>
        </row>
        <row r="53">
          <cell r="B53" t="str">
            <v>C7H5NaO3</v>
          </cell>
          <cell r="C53" t="str">
            <v>gam</v>
          </cell>
          <cell r="E53">
            <v>4440</v>
          </cell>
          <cell r="F53">
            <v>4036.363636363636</v>
          </cell>
        </row>
        <row r="54">
          <cell r="B54" t="str">
            <v>Ca(NO3)2.4H2O</v>
          </cell>
          <cell r="C54" t="str">
            <v>Gam</v>
          </cell>
          <cell r="E54">
            <v>1000</v>
          </cell>
          <cell r="F54">
            <v>909.09090909090901</v>
          </cell>
        </row>
        <row r="55">
          <cell r="B55" t="str">
            <v>Ca(NO3)2</v>
          </cell>
          <cell r="C55" t="str">
            <v>gam</v>
          </cell>
          <cell r="E55">
            <v>1500</v>
          </cell>
          <cell r="F55">
            <v>1363.6363636363635</v>
          </cell>
        </row>
        <row r="56">
          <cell r="B56" t="str">
            <v>Các chất: Cs, Ca, Ba, Fe, Ni</v>
          </cell>
          <cell r="C56" t="str">
            <v>ml</v>
          </cell>
          <cell r="E56">
            <v>2400</v>
          </cell>
          <cell r="F56">
            <v>2181.8181818181815</v>
          </cell>
        </row>
        <row r="57">
          <cell r="B57" t="str">
            <v>CaCl2</v>
          </cell>
          <cell r="C57" t="str">
            <v>gam</v>
          </cell>
          <cell r="E57">
            <v>1200</v>
          </cell>
          <cell r="F57">
            <v>1090.9090909090908</v>
          </cell>
        </row>
        <row r="58">
          <cell r="B58" t="str">
            <v>CaCO3</v>
          </cell>
          <cell r="C58" t="str">
            <v>Gam</v>
          </cell>
          <cell r="E58">
            <v>1900</v>
          </cell>
          <cell r="F58">
            <v>1727.272727272727</v>
          </cell>
        </row>
        <row r="59">
          <cell r="B59" t="str">
            <v>Cacbon disulfide (CS2)</v>
          </cell>
          <cell r="C59" t="str">
            <v>ml</v>
          </cell>
          <cell r="E59">
            <v>3000</v>
          </cell>
          <cell r="F59">
            <v>2727.272727272727</v>
          </cell>
        </row>
        <row r="60">
          <cell r="B60" t="str">
            <v>Canh thang BGBL</v>
          </cell>
          <cell r="C60" t="str">
            <v>Gam</v>
          </cell>
          <cell r="E60">
            <v>1400</v>
          </cell>
          <cell r="F60">
            <v>1272.7272727272725</v>
          </cell>
        </row>
        <row r="61">
          <cell r="B61" t="str">
            <v>Canh thang lactose LT</v>
          </cell>
          <cell r="C61" t="str">
            <v>gam</v>
          </cell>
          <cell r="E61">
            <v>3700</v>
          </cell>
          <cell r="F61">
            <v>3363.6363636363635</v>
          </cell>
        </row>
        <row r="62">
          <cell r="B62" t="str">
            <v>Cloramin T</v>
          </cell>
          <cell r="C62" t="str">
            <v>gam</v>
          </cell>
          <cell r="E62">
            <v>25000</v>
          </cell>
          <cell r="F62">
            <v>22727.272727272724</v>
          </cell>
        </row>
        <row r="63">
          <cell r="B63" t="str">
            <v>Cloroform</v>
          </cell>
          <cell r="C63" t="str">
            <v>ml</v>
          </cell>
          <cell r="E63">
            <v>750</v>
          </cell>
          <cell r="F63">
            <v>681.81818181818176</v>
          </cell>
        </row>
        <row r="64">
          <cell r="B64" t="str">
            <v>Clorobenzen</v>
          </cell>
          <cell r="C64" t="str">
            <v>ml</v>
          </cell>
          <cell r="E64">
            <v>190000</v>
          </cell>
          <cell r="F64">
            <v>172727.27272727271</v>
          </cell>
        </row>
        <row r="65">
          <cell r="B65" t="str">
            <v>Cồn lau dụng cụ</v>
          </cell>
          <cell r="C65" t="str">
            <v>ml</v>
          </cell>
          <cell r="E65">
            <v>35</v>
          </cell>
          <cell r="F65">
            <v>31.818181818181817</v>
          </cell>
        </row>
        <row r="66">
          <cell r="B66" t="str">
            <v>Cồn lau dụng cụ (lít)</v>
          </cell>
          <cell r="C66" t="str">
            <v>lít</v>
          </cell>
          <cell r="E66">
            <v>35000</v>
          </cell>
          <cell r="F66">
            <v>31818.181818181816</v>
          </cell>
        </row>
        <row r="67">
          <cell r="B67" t="str">
            <v>Cồn lau đầu đo</v>
          </cell>
          <cell r="C67" t="str">
            <v xml:space="preserve">ml </v>
          </cell>
          <cell r="E67">
            <v>35</v>
          </cell>
          <cell r="F67">
            <v>31.818181818181817</v>
          </cell>
        </row>
        <row r="68">
          <cell r="B68" t="str">
            <v>CrO3</v>
          </cell>
          <cell r="C68" t="str">
            <v>gam</v>
          </cell>
          <cell r="E68">
            <v>192000</v>
          </cell>
          <cell r="F68">
            <v>174545.45454545453</v>
          </cell>
        </row>
        <row r="69">
          <cell r="B69" t="str">
            <v>Cs</v>
          </cell>
          <cell r="C69" t="str">
            <v>ml</v>
          </cell>
          <cell r="E69">
            <v>2400</v>
          </cell>
          <cell r="F69">
            <v>2181.8181818181815</v>
          </cell>
        </row>
        <row r="70">
          <cell r="B70" t="str">
            <v>CsCl</v>
          </cell>
          <cell r="C70" t="str">
            <v>Gam</v>
          </cell>
          <cell r="E70">
            <v>12800</v>
          </cell>
          <cell r="F70">
            <v>11636.363636363636</v>
          </cell>
        </row>
        <row r="71">
          <cell r="B71" t="str">
            <v>CuSO4</v>
          </cell>
          <cell r="C71" t="str">
            <v>Gam</v>
          </cell>
          <cell r="E71">
            <v>850</v>
          </cell>
          <cell r="F71">
            <v>772.72727272727263</v>
          </cell>
        </row>
        <row r="72">
          <cell r="B72" t="str">
            <v>CuSO4.5H2O</v>
          </cell>
          <cell r="C72" t="str">
            <v>gram</v>
          </cell>
          <cell r="E72">
            <v>2200</v>
          </cell>
          <cell r="F72">
            <v>1999.9999999999998</v>
          </cell>
        </row>
        <row r="73">
          <cell r="B73" t="str">
            <v>CH2Cl2</v>
          </cell>
          <cell r="C73" t="str">
            <v>ml</v>
          </cell>
          <cell r="E73">
            <v>450</v>
          </cell>
          <cell r="F73">
            <v>409.09090909090907</v>
          </cell>
        </row>
        <row r="74">
          <cell r="B74" t="str">
            <v>CH3COOH</v>
          </cell>
          <cell r="C74" t="str">
            <v>ml</v>
          </cell>
          <cell r="E74">
            <v>160</v>
          </cell>
          <cell r="F74">
            <v>145.45454545454544</v>
          </cell>
        </row>
        <row r="75">
          <cell r="B75" t="str">
            <v>CH3COONa</v>
          </cell>
          <cell r="C75" t="str">
            <v>Gam</v>
          </cell>
          <cell r="E75">
            <v>600</v>
          </cell>
          <cell r="F75">
            <v>545.45454545454538</v>
          </cell>
        </row>
        <row r="76">
          <cell r="B76" t="str">
            <v>CH3COONa.3H2O</v>
          </cell>
          <cell r="C76" t="str">
            <v>Gram</v>
          </cell>
          <cell r="E76">
            <v>940</v>
          </cell>
          <cell r="F76">
            <v>854.5454545454545</v>
          </cell>
        </row>
        <row r="77">
          <cell r="B77" t="str">
            <v>C19H32O3S</v>
          </cell>
          <cell r="C77" t="str">
            <v>ml</v>
          </cell>
          <cell r="E77">
            <v>55000</v>
          </cell>
          <cell r="F77">
            <v>49999.999999999993</v>
          </cell>
        </row>
        <row r="78">
          <cell r="B78" t="str">
            <v>Chai đựng mẫu</v>
          </cell>
          <cell r="C78" t="str">
            <v>cái</v>
          </cell>
          <cell r="E78">
            <v>80000</v>
          </cell>
          <cell r="F78">
            <v>72727.272727272721</v>
          </cell>
        </row>
        <row r="79">
          <cell r="B79" t="str">
            <v>Chất điện giải</v>
          </cell>
          <cell r="C79" t="str">
            <v>ml</v>
          </cell>
          <cell r="E79">
            <v>110000</v>
          </cell>
          <cell r="F79">
            <v>99999.999999999985</v>
          </cell>
        </row>
        <row r="80">
          <cell r="B80" t="str">
            <v>CHCl3</v>
          </cell>
          <cell r="C80" t="str">
            <v>ml</v>
          </cell>
          <cell r="E80">
            <v>750</v>
          </cell>
          <cell r="F80">
            <v>681.81818181818176</v>
          </cell>
        </row>
        <row r="81">
          <cell r="B81" t="str">
            <v>Chiết pha rắn SPE</v>
          </cell>
          <cell r="C81" t="str">
            <v>Cái</v>
          </cell>
          <cell r="E81">
            <v>120000</v>
          </cell>
          <cell r="F81">
            <v>109090.90909090909</v>
          </cell>
        </row>
        <row r="82">
          <cell r="B82" t="str">
            <v>Chiết pha rắn SPE (ml)</v>
          </cell>
          <cell r="C82" t="str">
            <v xml:space="preserve">ml </v>
          </cell>
          <cell r="E82">
            <v>1200</v>
          </cell>
          <cell r="F82">
            <v>1090.9090909090908</v>
          </cell>
        </row>
        <row r="83">
          <cell r="B83" t="str">
            <v>Dầu thủy lực</v>
          </cell>
          <cell r="C83" t="str">
            <v>Lít</v>
          </cell>
          <cell r="E83">
            <v>65000</v>
          </cell>
          <cell r="F83">
            <v>59090.909090909088</v>
          </cell>
        </row>
        <row r="84">
          <cell r="B84" t="str">
            <v>Diatomit cỡ hạt 0,125mm-0,150mm</v>
          </cell>
          <cell r="C84" t="str">
            <v>gam</v>
          </cell>
          <cell r="E84">
            <v>4000</v>
          </cell>
          <cell r="F84">
            <v>3636.363636363636</v>
          </cell>
        </row>
        <row r="85">
          <cell r="B85" t="str">
            <v>Diclormrthan</v>
          </cell>
          <cell r="C85" t="str">
            <v>ml</v>
          </cell>
          <cell r="E85">
            <v>450</v>
          </cell>
          <cell r="F85">
            <v>409.09090909090907</v>
          </cell>
        </row>
        <row r="86">
          <cell r="B86" t="str">
            <v>Diphenylamin</v>
          </cell>
          <cell r="C86" t="str">
            <v>gam</v>
          </cell>
          <cell r="E86">
            <v>850</v>
          </cell>
          <cell r="F86">
            <v>772.72727272727263</v>
          </cell>
        </row>
        <row r="87">
          <cell r="B87" t="str">
            <v>Dithizon</v>
          </cell>
          <cell r="C87" t="str">
            <v>Gam</v>
          </cell>
          <cell r="E87">
            <v>66000</v>
          </cell>
          <cell r="F87">
            <v>59999.999999999993</v>
          </cell>
        </row>
        <row r="88">
          <cell r="B88" t="str">
            <v>Dietyl ete</v>
          </cell>
          <cell r="C88" t="str">
            <v>ml</v>
          </cell>
          <cell r="E88">
            <v>1000</v>
          </cell>
          <cell r="F88">
            <v>909.09090909090901</v>
          </cell>
        </row>
        <row r="89">
          <cell r="B89" t="str">
            <v>Oxit nhôm</v>
          </cell>
          <cell r="C89" t="str">
            <v>gam</v>
          </cell>
          <cell r="E89">
            <v>450</v>
          </cell>
          <cell r="F89">
            <v>409.09090909090907</v>
          </cell>
        </row>
        <row r="90">
          <cell r="B90" t="str">
            <v>Dung dịch canxi chuẩn</v>
          </cell>
          <cell r="C90" t="str">
            <v xml:space="preserve">ml </v>
          </cell>
          <cell r="E90">
            <v>2400</v>
          </cell>
          <cell r="F90">
            <v>2181.8181818181815</v>
          </cell>
        </row>
        <row r="91">
          <cell r="B91" t="str">
            <v>Dung dịch chuẩn</v>
          </cell>
          <cell r="C91" t="str">
            <v>ml</v>
          </cell>
          <cell r="E91">
            <v>2400</v>
          </cell>
          <cell r="F91">
            <v>2181.8181818181815</v>
          </cell>
        </row>
        <row r="92">
          <cell r="B92" t="str">
            <v>Dung dịch chuẩn 0 NTU</v>
          </cell>
          <cell r="C92" t="str">
            <v>ml</v>
          </cell>
          <cell r="E92">
            <v>2400</v>
          </cell>
          <cell r="F92">
            <v>2181.8181818181815</v>
          </cell>
        </row>
        <row r="93">
          <cell r="B93" t="str">
            <v>Dung dịch chuẩn 100 NTU</v>
          </cell>
          <cell r="C93" t="str">
            <v xml:space="preserve">ml </v>
          </cell>
          <cell r="E93">
            <v>4000</v>
          </cell>
          <cell r="F93">
            <v>3636.363636363636</v>
          </cell>
        </row>
        <row r="94">
          <cell r="B94" t="str">
            <v>Dung dịch chuẩn 12280</v>
          </cell>
          <cell r="C94" t="str">
            <v>ml</v>
          </cell>
          <cell r="E94">
            <v>2400</v>
          </cell>
          <cell r="F94">
            <v>2181.8181818181815</v>
          </cell>
        </row>
        <row r="95">
          <cell r="B95" t="str">
            <v>Dung dịch chuẩn 1413</v>
          </cell>
          <cell r="C95" t="str">
            <v xml:space="preserve">ml </v>
          </cell>
          <cell r="E95">
            <v>2400</v>
          </cell>
          <cell r="F95">
            <v>2181.8181818181815</v>
          </cell>
        </row>
        <row r="96">
          <cell r="B96" t="str">
            <v>Dung dịch chuẩn 800 NTU</v>
          </cell>
          <cell r="C96" t="str">
            <v xml:space="preserve">ml </v>
          </cell>
          <cell r="E96">
            <v>5000</v>
          </cell>
          <cell r="F96">
            <v>4545.454545454545</v>
          </cell>
        </row>
        <row r="97">
          <cell r="B97" t="str">
            <v>Dung dịch chuẩn 800 NTU</v>
          </cell>
          <cell r="C97" t="str">
            <v>ml</v>
          </cell>
          <cell r="E97">
            <v>5000</v>
          </cell>
          <cell r="F97">
            <v>4545.454545454545</v>
          </cell>
        </row>
        <row r="98">
          <cell r="B98" t="str">
            <v>Dung dịch chuẩn 84</v>
          </cell>
          <cell r="C98" t="str">
            <v xml:space="preserve">ml </v>
          </cell>
          <cell r="E98">
            <v>2400</v>
          </cell>
          <cell r="F98">
            <v>2181.8181818181815</v>
          </cell>
        </row>
        <row r="99">
          <cell r="B99" t="str">
            <v>Dung dịch chuẩn Coban</v>
          </cell>
          <cell r="C99" t="str">
            <v xml:space="preserve">ml </v>
          </cell>
          <cell r="E99">
            <v>6000</v>
          </cell>
          <cell r="F99">
            <v>5454.545454545454</v>
          </cell>
        </row>
        <row r="100">
          <cell r="B100" t="str">
            <v>Dung dịch chuẩn đa nguyên tố (ICP Standard)</v>
          </cell>
          <cell r="C100" t="str">
            <v>ml</v>
          </cell>
          <cell r="E100">
            <v>55000</v>
          </cell>
          <cell r="F100">
            <v>49999.999999999993</v>
          </cell>
        </row>
        <row r="101">
          <cell r="B101" t="str">
            <v>Dung dịch chuẩn gốc 1000ppm</v>
          </cell>
          <cell r="C101" t="str">
            <v>ml</v>
          </cell>
          <cell r="E101">
            <v>2400</v>
          </cell>
          <cell r="F101">
            <v>2181.8181818181815</v>
          </cell>
        </row>
        <row r="102">
          <cell r="B102" t="str">
            <v>Dung dịch chuẩn PCBs</v>
          </cell>
          <cell r="E102">
            <v>14500000</v>
          </cell>
          <cell r="F102">
            <v>13181818.181818182</v>
          </cell>
        </row>
        <row r="103">
          <cell r="B103" t="str">
            <v>Dung diịch chuẩn VOC</v>
          </cell>
          <cell r="C103" t="str">
            <v>ml</v>
          </cell>
          <cell r="E103">
            <v>4175000</v>
          </cell>
          <cell r="F103">
            <v>3795454.5454545449</v>
          </cell>
        </row>
        <row r="104">
          <cell r="B104" t="str">
            <v>Dung dịch chuẩn hỗn hợp nhóm Pyrethroid</v>
          </cell>
          <cell r="C104" t="str">
            <v xml:space="preserve">ml </v>
          </cell>
          <cell r="E104">
            <v>15000000</v>
          </cell>
          <cell r="F104">
            <v>13636363.636363635</v>
          </cell>
        </row>
        <row r="105">
          <cell r="B105" t="str">
            <v>Dung dịch chuẩn PAHs</v>
          </cell>
          <cell r="C105" t="str">
            <v>ml</v>
          </cell>
          <cell r="E105">
            <v>13500000</v>
          </cell>
          <cell r="F105">
            <v>12272727.272727272</v>
          </cell>
        </row>
        <row r="106">
          <cell r="B106" t="str">
            <v>Dung dịch chuẩn H2S</v>
          </cell>
          <cell r="C106" t="str">
            <v>ml</v>
          </cell>
          <cell r="E106">
            <v>4350</v>
          </cell>
          <cell r="F106">
            <v>3954.545454545454</v>
          </cell>
        </row>
        <row r="107">
          <cell r="B107" t="str">
            <v>Dung dịch chuẩn K</v>
          </cell>
          <cell r="C107" t="str">
            <v>ml</v>
          </cell>
          <cell r="E107">
            <v>1000</v>
          </cell>
          <cell r="F107">
            <v>909.09090909090901</v>
          </cell>
        </row>
        <row r="108">
          <cell r="B108" t="str">
            <v>Dung dịch chuẩn mix 13</v>
          </cell>
          <cell r="C108" t="str">
            <v xml:space="preserve">ml </v>
          </cell>
          <cell r="E108">
            <v>17000000</v>
          </cell>
          <cell r="F108">
            <v>15454545.454545453</v>
          </cell>
        </row>
        <row r="109">
          <cell r="B109" t="str">
            <v>Dung dịch chuẩn Na</v>
          </cell>
          <cell r="C109" t="str">
            <v>ml</v>
          </cell>
          <cell r="E109">
            <v>2400</v>
          </cell>
          <cell r="F109">
            <v>2181.8181818181815</v>
          </cell>
        </row>
        <row r="110">
          <cell r="B110" t="str">
            <v>Dung dịch chuẩn Na2S2O3</v>
          </cell>
          <cell r="C110" t="str">
            <v>ml</v>
          </cell>
          <cell r="E110">
            <v>2000</v>
          </cell>
          <cell r="F110">
            <v>1818.181818181818</v>
          </cell>
        </row>
        <row r="111">
          <cell r="B111" t="str">
            <v>Dung dịch chuẩn Na2SiO3</v>
          </cell>
          <cell r="C111" t="str">
            <v xml:space="preserve">ml </v>
          </cell>
          <cell r="E111">
            <v>4350</v>
          </cell>
          <cell r="F111">
            <v>3954.545454545454</v>
          </cell>
        </row>
        <row r="112">
          <cell r="B112" t="str">
            <v>Dung dịch chuẩn NaNO2</v>
          </cell>
          <cell r="C112" t="str">
            <v xml:space="preserve">ml </v>
          </cell>
          <cell r="E112">
            <v>2400</v>
          </cell>
          <cell r="F112">
            <v>2181.8181818181815</v>
          </cell>
        </row>
        <row r="113">
          <cell r="B113" t="str">
            <v>Dung dịch chuẩn NaNO3</v>
          </cell>
          <cell r="C113" t="str">
            <v>ml</v>
          </cell>
          <cell r="E113">
            <v>4350</v>
          </cell>
          <cell r="F113">
            <v>3954.545454545454</v>
          </cell>
        </row>
        <row r="114">
          <cell r="B114" t="str">
            <v>Dung dịch chuẩn Pb</v>
          </cell>
          <cell r="C114" t="str">
            <v>ml</v>
          </cell>
          <cell r="E114">
            <v>2400</v>
          </cell>
          <cell r="F114">
            <v>2181.8181818181815</v>
          </cell>
        </row>
        <row r="115">
          <cell r="B115" t="str">
            <v>Dung dịch chuẩn pH ở giá trị pH = 4 và pH = 10</v>
          </cell>
          <cell r="C115" t="str">
            <v>ml</v>
          </cell>
          <cell r="E115">
            <v>5500</v>
          </cell>
          <cell r="F115">
            <v>5000</v>
          </cell>
        </row>
        <row r="116">
          <cell r="B116" t="str">
            <v>Dung dịch chuẩn pH ở giá trị pH = 4 và pH = 7</v>
          </cell>
          <cell r="C116" t="str">
            <v>ml</v>
          </cell>
          <cell r="E116">
            <v>5500</v>
          </cell>
          <cell r="F116">
            <v>5000</v>
          </cell>
        </row>
        <row r="117">
          <cell r="B117" t="str">
            <v xml:space="preserve">Dung dịch chuẩn pH </v>
          </cell>
          <cell r="C117" t="str">
            <v>ml</v>
          </cell>
          <cell r="E117">
            <v>5500</v>
          </cell>
          <cell r="F117">
            <v>5000</v>
          </cell>
        </row>
        <row r="118">
          <cell r="B118" t="str">
            <v>Dung dịch chuẩn pH ở pH = 4, pH = 7, pH = 10</v>
          </cell>
          <cell r="C118" t="str">
            <v>ml</v>
          </cell>
          <cell r="E118">
            <v>5500</v>
          </cell>
          <cell r="F118">
            <v>5000</v>
          </cell>
        </row>
        <row r="119">
          <cell r="B119" t="str">
            <v>Dung dịch chuẩn P-PO4</v>
          </cell>
          <cell r="C119" t="str">
            <v>ml</v>
          </cell>
          <cell r="E119">
            <v>1560</v>
          </cell>
          <cell r="F119">
            <v>1418.181818181818</v>
          </cell>
        </row>
        <row r="120">
          <cell r="B120" t="str">
            <v>Dung dịch chuẩn thẩm tra hiệu năng của thiết bị</v>
          </cell>
          <cell r="C120" t="str">
            <v>ml</v>
          </cell>
          <cell r="E120">
            <v>100000</v>
          </cell>
          <cell r="F120">
            <v>90909.090909090897</v>
          </cell>
        </row>
        <row r="121">
          <cell r="B121" t="str">
            <v>Dung dịch chuẩn Trilon B</v>
          </cell>
          <cell r="C121" t="str">
            <v>Gam</v>
          </cell>
          <cell r="E121">
            <v>2400</v>
          </cell>
          <cell r="F121">
            <v>2181.8181818181815</v>
          </cell>
        </row>
        <row r="122">
          <cell r="B122" t="str">
            <v>Dung dịch chuẩn Trilon B 0,02N</v>
          </cell>
          <cell r="C122" t="str">
            <v xml:space="preserve">ml </v>
          </cell>
          <cell r="E122">
            <v>2400</v>
          </cell>
          <cell r="F122">
            <v>2181.8181818181815</v>
          </cell>
        </row>
        <row r="123">
          <cell r="B123" t="str">
            <v>Dung dịch chuẩn Trilon B 0,1N</v>
          </cell>
          <cell r="C123" t="str">
            <v>Gam</v>
          </cell>
          <cell r="E123">
            <v>2400</v>
          </cell>
          <cell r="F123">
            <v>2181.8181818181815</v>
          </cell>
        </row>
        <row r="124">
          <cell r="B124" t="str">
            <v>Dung dịch chuẩn ZnSO4</v>
          </cell>
          <cell r="C124" t="str">
            <v>ml</v>
          </cell>
          <cell r="E124">
            <v>2400</v>
          </cell>
          <cell r="F124">
            <v>2181.8181818181815</v>
          </cell>
        </row>
        <row r="125">
          <cell r="B125" t="str">
            <v>Dung dich đệm</v>
          </cell>
          <cell r="C125" t="str">
            <v>ml</v>
          </cell>
          <cell r="E125">
            <v>120000</v>
          </cell>
          <cell r="F125">
            <v>109090.90909090909</v>
          </cell>
        </row>
        <row r="126">
          <cell r="B126" t="str">
            <v>Dung dịch điện cực DO</v>
          </cell>
          <cell r="C126" t="str">
            <v xml:space="preserve">ml </v>
          </cell>
          <cell r="E126">
            <v>2400</v>
          </cell>
          <cell r="F126">
            <v>2181.8181818181815</v>
          </cell>
        </row>
        <row r="127">
          <cell r="B127" t="str">
            <v>Dung dịch KCl</v>
          </cell>
          <cell r="C127" t="str">
            <v>ml</v>
          </cell>
          <cell r="E127">
            <v>180000</v>
          </cell>
          <cell r="F127">
            <v>163636.36363636362</v>
          </cell>
        </row>
        <row r="128">
          <cell r="B128" t="str">
            <v xml:space="preserve">Đồng phtalocyanin tetrasunfonic  (C32H12CuN8O12S4Na4) </v>
          </cell>
          <cell r="C128" t="str">
            <v>g</v>
          </cell>
          <cell r="E128">
            <v>45000</v>
          </cell>
          <cell r="F128">
            <v>40909.090909090904</v>
          </cell>
        </row>
        <row r="129">
          <cell r="B129" t="str">
            <v>Dung dịch chuẩn CRM</v>
          </cell>
          <cell r="C129" t="str">
            <v>ml</v>
          </cell>
          <cell r="E129">
            <v>8500</v>
          </cell>
          <cell r="F129">
            <v>7727.272727272727</v>
          </cell>
        </row>
        <row r="130">
          <cell r="B130" t="str">
            <v>Dung dịch làm sạch điện cực</v>
          </cell>
          <cell r="C130" t="str">
            <v>ml</v>
          </cell>
          <cell r="E130">
            <v>2400</v>
          </cell>
          <cell r="F130">
            <v>2181.8181818181815</v>
          </cell>
        </row>
        <row r="131">
          <cell r="B131" t="str">
            <v>Dung dịch nội chuẩn</v>
          </cell>
          <cell r="C131" t="str">
            <v xml:space="preserve">ml </v>
          </cell>
          <cell r="E131">
            <v>14500000</v>
          </cell>
          <cell r="F131">
            <v>13181818.181818182</v>
          </cell>
        </row>
        <row r="132">
          <cell r="B132" t="str">
            <v>Dung dịch NH3 đặc</v>
          </cell>
          <cell r="C132" t="str">
            <v>ml</v>
          </cell>
          <cell r="E132">
            <v>2400</v>
          </cell>
          <cell r="F132">
            <v>2181.8181818181815</v>
          </cell>
        </row>
        <row r="133">
          <cell r="B133" t="str">
            <v>Dung dịch chuẩn 1000 Pt-Co</v>
          </cell>
          <cell r="C133" t="str">
            <v>ml</v>
          </cell>
          <cell r="E133">
            <v>5000</v>
          </cell>
          <cell r="F133">
            <v>4545.454545454545</v>
          </cell>
        </row>
        <row r="134">
          <cell r="B134" t="str">
            <v xml:space="preserve">Dung dịch hấp phụ </v>
          </cell>
          <cell r="C134" t="str">
            <v>ml</v>
          </cell>
          <cell r="E134">
            <v>2400</v>
          </cell>
          <cell r="F134">
            <v>2181.8181818181815</v>
          </cell>
        </row>
        <row r="135">
          <cell r="B135" t="str">
            <v xml:space="preserve">Axit pha dung dịch hấp </v>
          </cell>
          <cell r="C135" t="str">
            <v>ml</v>
          </cell>
          <cell r="E135">
            <v>450</v>
          </cell>
          <cell r="F135">
            <v>409.09090909090907</v>
          </cell>
        </row>
        <row r="136">
          <cell r="B136" t="str">
            <v>Dung dịch NH3+ chuẩn</v>
          </cell>
          <cell r="C136" t="str">
            <v xml:space="preserve">ml </v>
          </cell>
          <cell r="F136">
            <v>0</v>
          </cell>
        </row>
        <row r="137">
          <cell r="B137" t="str">
            <v>Dung dịch NH4+ chuẩn</v>
          </cell>
          <cell r="C137" t="str">
            <v>ml</v>
          </cell>
          <cell r="E137">
            <v>2400</v>
          </cell>
          <cell r="F137">
            <v>2181.8181818181815</v>
          </cell>
        </row>
        <row r="138">
          <cell r="B138" t="str">
            <v>Dung dịch ureaxetic</v>
          </cell>
          <cell r="C138" t="str">
            <v xml:space="preserve">ml </v>
          </cell>
          <cell r="E138">
            <v>2400</v>
          </cell>
          <cell r="F138">
            <v>2181.8181818181815</v>
          </cell>
        </row>
        <row r="139">
          <cell r="B139" t="str">
            <v>Dung môi</v>
          </cell>
          <cell r="C139" t="str">
            <v>ml</v>
          </cell>
          <cell r="E139">
            <v>700</v>
          </cell>
          <cell r="F139">
            <v>636.36363636363626</v>
          </cell>
        </row>
        <row r="140">
          <cell r="B140" t="str">
            <v>Đĩa CD</v>
          </cell>
          <cell r="C140" t="str">
            <v>cái</v>
          </cell>
          <cell r="E140">
            <v>11000</v>
          </cell>
          <cell r="F140">
            <v>10000</v>
          </cell>
        </row>
        <row r="141">
          <cell r="B141" t="str">
            <v>Đĩa mềm (đĩa A)</v>
          </cell>
          <cell r="C141" t="str">
            <v>cái</v>
          </cell>
          <cell r="E141">
            <v>8000</v>
          </cell>
          <cell r="F141">
            <v>7272.7272727272721</v>
          </cell>
        </row>
        <row r="142">
          <cell r="B142" t="str">
            <v xml:space="preserve">Đá khô </v>
          </cell>
          <cell r="C142" t="str">
            <v>túi</v>
          </cell>
          <cell r="E142">
            <v>50000</v>
          </cell>
          <cell r="F142">
            <v>45454.545454545449</v>
          </cell>
        </row>
        <row r="143">
          <cell r="B143" t="str">
            <v>EDTA</v>
          </cell>
          <cell r="C143" t="str">
            <v>Gam</v>
          </cell>
          <cell r="E143">
            <v>2500</v>
          </cell>
          <cell r="F143">
            <v>2272.7272727272725</v>
          </cell>
        </row>
        <row r="144">
          <cell r="B144" t="str">
            <v>Eriocrom đen T</v>
          </cell>
          <cell r="C144" t="str">
            <v>Gam</v>
          </cell>
          <cell r="E144">
            <v>7500</v>
          </cell>
          <cell r="F144">
            <v>6818.181818181818</v>
          </cell>
        </row>
        <row r="145">
          <cell r="B145" t="str">
            <v>Eriochrom đen</v>
          </cell>
          <cell r="C145" t="str">
            <v>Gam</v>
          </cell>
          <cell r="E145">
            <v>7500</v>
          </cell>
          <cell r="F145">
            <v>6818.181818181818</v>
          </cell>
        </row>
        <row r="146">
          <cell r="B146" t="str">
            <v>Etanol</v>
          </cell>
          <cell r="C146" t="str">
            <v>ml</v>
          </cell>
          <cell r="E146">
            <v>200</v>
          </cell>
          <cell r="F146">
            <v>181.81818181818181</v>
          </cell>
        </row>
        <row r="147">
          <cell r="B147" t="str">
            <v>FeCl3</v>
          </cell>
          <cell r="C147" t="str">
            <v>Gram</v>
          </cell>
          <cell r="E147">
            <v>3200</v>
          </cell>
          <cell r="F147">
            <v>2909.090909090909</v>
          </cell>
        </row>
        <row r="148">
          <cell r="B148" t="str">
            <v>FeCl3, 6H2O</v>
          </cell>
          <cell r="C148" t="str">
            <v>gam</v>
          </cell>
          <cell r="E148">
            <v>1360</v>
          </cell>
          <cell r="F148">
            <v>1236.3636363636363</v>
          </cell>
        </row>
        <row r="149">
          <cell r="B149" t="str">
            <v>FeSO4(NH4)2SO4.H2O</v>
          </cell>
          <cell r="C149" t="str">
            <v>gam</v>
          </cell>
          <cell r="E149">
            <v>2920</v>
          </cell>
          <cell r="F149">
            <v>2654.5454545454545</v>
          </cell>
        </row>
        <row r="150">
          <cell r="B150" t="str">
            <v>FeSO4.7H2O</v>
          </cell>
          <cell r="C150" t="str">
            <v>gam</v>
          </cell>
          <cell r="E150">
            <v>1450</v>
          </cell>
          <cell r="F150">
            <v>1318.181818181818</v>
          </cell>
        </row>
        <row r="151">
          <cell r="B151" t="str">
            <v>Florisil</v>
          </cell>
          <cell r="C151" t="str">
            <v>gram</v>
          </cell>
          <cell r="E151">
            <v>2000</v>
          </cell>
          <cell r="F151">
            <v>1818.181818181818</v>
          </cell>
        </row>
        <row r="152">
          <cell r="B152" t="str">
            <v>Formaldehyt</v>
          </cell>
          <cell r="C152" t="str">
            <v>ml</v>
          </cell>
          <cell r="E152">
            <v>1600</v>
          </cell>
          <cell r="F152">
            <v>1454.5454545454545</v>
          </cell>
        </row>
        <row r="153">
          <cell r="B153" t="str">
            <v>Găng tay chịu nhiệt</v>
          </cell>
          <cell r="C153" t="str">
            <v>đôi</v>
          </cell>
          <cell r="E153">
            <v>400000</v>
          </cell>
          <cell r="F153">
            <v>363636.36363636359</v>
          </cell>
        </row>
        <row r="154">
          <cell r="B154" t="str">
            <v>Glyxin</v>
          </cell>
          <cell r="C154" t="str">
            <v>gam</v>
          </cell>
          <cell r="E154">
            <v>1360</v>
          </cell>
          <cell r="F154">
            <v>1236.3636363636363</v>
          </cell>
        </row>
        <row r="155">
          <cell r="B155" t="str">
            <v>Gluco</v>
          </cell>
          <cell r="C155" t="str">
            <v>gam</v>
          </cell>
          <cell r="E155">
            <v>600</v>
          </cell>
          <cell r="F155">
            <v>545.45454545454538</v>
          </cell>
        </row>
        <row r="156">
          <cell r="B156" t="str">
            <v>Glutamic</v>
          </cell>
          <cell r="C156" t="str">
            <v>gam</v>
          </cell>
          <cell r="E156">
            <v>1360</v>
          </cell>
          <cell r="F156">
            <v>1236.3636363636363</v>
          </cell>
        </row>
        <row r="157">
          <cell r="B157" t="str">
            <v>Glycerin</v>
          </cell>
          <cell r="C157" t="str">
            <v>ml</v>
          </cell>
          <cell r="E157">
            <v>1000</v>
          </cell>
          <cell r="F157">
            <v>909.09090909090901</v>
          </cell>
        </row>
        <row r="158">
          <cell r="B158" t="str">
            <v>Giấy A4</v>
          </cell>
          <cell r="C158" t="str">
            <v>gam</v>
          </cell>
          <cell r="E158">
            <v>30000</v>
          </cell>
          <cell r="F158">
            <v>27272.727272727272</v>
          </cell>
        </row>
        <row r="159">
          <cell r="B159" t="str">
            <v>Giấy lau</v>
          </cell>
          <cell r="C159" t="str">
            <v>hộp</v>
          </cell>
          <cell r="E159">
            <v>40000</v>
          </cell>
          <cell r="F159">
            <v>36363.63636363636</v>
          </cell>
        </row>
        <row r="160">
          <cell r="B160" t="str">
            <v>Giấy lọc bụi</v>
          </cell>
          <cell r="C160" t="str">
            <v>tờ</v>
          </cell>
          <cell r="E160">
            <v>60000</v>
          </cell>
          <cell r="F160">
            <v>54545.454545454544</v>
          </cell>
        </row>
        <row r="161">
          <cell r="B161" t="str">
            <v>Giấy lọc 0,45 µm</v>
          </cell>
          <cell r="C161" t="str">
            <v>hộp</v>
          </cell>
          <cell r="E161">
            <v>750000</v>
          </cell>
          <cell r="F161">
            <v>681818.18181818177</v>
          </cell>
        </row>
        <row r="162">
          <cell r="B162" t="str">
            <v xml:space="preserve">Giấy lọc </v>
          </cell>
          <cell r="C162" t="str">
            <v>hộp</v>
          </cell>
          <cell r="E162">
            <v>360000</v>
          </cell>
          <cell r="F162">
            <v>327272.72727272724</v>
          </cell>
        </row>
        <row r="163">
          <cell r="B163" t="str">
            <v>Giấy lọc băng xanh</v>
          </cell>
          <cell r="C163" t="str">
            <v>hộp</v>
          </cell>
          <cell r="E163">
            <v>155000</v>
          </cell>
          <cell r="F163">
            <v>140909.09090909091</v>
          </cell>
        </row>
        <row r="164">
          <cell r="B164" t="str">
            <v>Giấy lọc sợi thủy tinh</v>
          </cell>
          <cell r="C164" t="str">
            <v>hộp</v>
          </cell>
          <cell r="E164">
            <v>7000000</v>
          </cell>
          <cell r="F164">
            <v>6363636.3636363633</v>
          </cell>
        </row>
        <row r="165">
          <cell r="B165" t="str">
            <v>Giấy pH</v>
          </cell>
          <cell r="C165" t="str">
            <v>Hộp</v>
          </cell>
          <cell r="E165">
            <v>120000</v>
          </cell>
          <cell r="F165">
            <v>109090.90909090909</v>
          </cell>
        </row>
        <row r="166">
          <cell r="B166" t="str">
            <v>Giấy thử pH</v>
          </cell>
          <cell r="C166" t="str">
            <v>Hộp</v>
          </cell>
          <cell r="E166">
            <v>120000</v>
          </cell>
          <cell r="F166">
            <v>109090.90909090909</v>
          </cell>
        </row>
        <row r="167">
          <cell r="B167" t="str">
            <v>Gim bấm</v>
          </cell>
          <cell r="C167" t="str">
            <v>hộp</v>
          </cell>
          <cell r="E167">
            <v>2000</v>
          </cell>
          <cell r="F167">
            <v>1818.181818181818</v>
          </cell>
        </row>
        <row r="168">
          <cell r="B168" t="str">
            <v>Gim kẹp giấy</v>
          </cell>
          <cell r="C168" t="str">
            <v>hộp</v>
          </cell>
          <cell r="E168">
            <v>2000</v>
          </cell>
          <cell r="F168">
            <v>1818.181818181818</v>
          </cell>
        </row>
        <row r="169">
          <cell r="B169" t="str">
            <v>Hợp kim devarda</v>
          </cell>
          <cell r="C169" t="str">
            <v>gam</v>
          </cell>
          <cell r="E169">
            <v>55000</v>
          </cell>
          <cell r="F169">
            <v>49999.999999999993</v>
          </cell>
        </row>
        <row r="170">
          <cell r="B170" t="str">
            <v>Hg(SCN)2</v>
          </cell>
          <cell r="C170" t="str">
            <v>gam</v>
          </cell>
          <cell r="E170">
            <v>125000</v>
          </cell>
          <cell r="F170">
            <v>113636.36363636363</v>
          </cell>
        </row>
        <row r="171">
          <cell r="B171" t="str">
            <v>H2O2</v>
          </cell>
          <cell r="C171" t="str">
            <v>ml</v>
          </cell>
          <cell r="E171">
            <v>1100</v>
          </cell>
          <cell r="F171">
            <v>999.99999999999989</v>
          </cell>
        </row>
        <row r="172">
          <cell r="B172" t="str">
            <v>H2O2 30%</v>
          </cell>
          <cell r="C172" t="str">
            <v>ml</v>
          </cell>
          <cell r="E172">
            <v>1100</v>
          </cell>
          <cell r="F172">
            <v>999.99999999999989</v>
          </cell>
        </row>
        <row r="173">
          <cell r="B173" t="str">
            <v>H2O3 (chỉ có H2O2)</v>
          </cell>
          <cell r="C173" t="str">
            <v>ml</v>
          </cell>
          <cell r="E173">
            <v>1100</v>
          </cell>
          <cell r="F173">
            <v>999.99999999999989</v>
          </cell>
        </row>
        <row r="174">
          <cell r="B174" t="str">
            <v>H2SO4</v>
          </cell>
          <cell r="C174" t="str">
            <v xml:space="preserve">ml </v>
          </cell>
          <cell r="E174">
            <v>500</v>
          </cell>
          <cell r="F174">
            <v>454.5454545454545</v>
          </cell>
        </row>
        <row r="175">
          <cell r="B175" t="str">
            <v>H2SO4 5N</v>
          </cell>
          <cell r="C175" t="str">
            <v>ml</v>
          </cell>
          <cell r="E175">
            <v>900</v>
          </cell>
          <cell r="F175">
            <v>818.18181818181813</v>
          </cell>
        </row>
        <row r="176">
          <cell r="B176" t="str">
            <v>H2SO4 đậm đặc</v>
          </cell>
          <cell r="C176" t="str">
            <v>ml</v>
          </cell>
          <cell r="E176">
            <v>1310</v>
          </cell>
          <cell r="F176">
            <v>1190.9090909090908</v>
          </cell>
        </row>
        <row r="177">
          <cell r="B177" t="str">
            <v>H2SO4 tiêu chuẩn</v>
          </cell>
          <cell r="C177" t="str">
            <v>ml</v>
          </cell>
          <cell r="E177">
            <v>550</v>
          </cell>
          <cell r="F177">
            <v>499.99999999999994</v>
          </cell>
        </row>
        <row r="178">
          <cell r="B178" t="str">
            <v>H3BO3</v>
          </cell>
          <cell r="C178" t="str">
            <v>Gam</v>
          </cell>
          <cell r="E178">
            <v>800</v>
          </cell>
          <cell r="F178">
            <v>727.27272727272725</v>
          </cell>
        </row>
        <row r="179">
          <cell r="B179" t="str">
            <v>H3O2</v>
          </cell>
          <cell r="C179" t="str">
            <v>ml</v>
          </cell>
          <cell r="E179">
            <v>1100</v>
          </cell>
          <cell r="F179">
            <v>999.99999999999989</v>
          </cell>
        </row>
        <row r="180">
          <cell r="B180" t="str">
            <v>H3PO4</v>
          </cell>
          <cell r="C180" t="str">
            <v>ml</v>
          </cell>
          <cell r="E180">
            <v>440</v>
          </cell>
          <cell r="F180">
            <v>399.99999999999994</v>
          </cell>
        </row>
        <row r="181">
          <cell r="B181" t="str">
            <v>HCl đậm đặc</v>
          </cell>
          <cell r="C181" t="str">
            <v>ml</v>
          </cell>
          <cell r="E181">
            <v>550</v>
          </cell>
          <cell r="F181">
            <v>499.99999999999994</v>
          </cell>
        </row>
        <row r="182">
          <cell r="B182" t="str">
            <v>HCl 1:1</v>
          </cell>
          <cell r="C182" t="str">
            <v>ml</v>
          </cell>
          <cell r="E182">
            <v>400</v>
          </cell>
          <cell r="F182">
            <v>363.63636363636363</v>
          </cell>
        </row>
        <row r="183">
          <cell r="B183" t="str">
            <v>HCl 1N</v>
          </cell>
          <cell r="C183" t="str">
            <v>ml</v>
          </cell>
          <cell r="E183">
            <v>300</v>
          </cell>
          <cell r="F183">
            <v>272.72727272727269</v>
          </cell>
        </row>
        <row r="184">
          <cell r="B184" t="str">
            <v>HCl tiêu chuẩn</v>
          </cell>
          <cell r="C184" t="str">
            <v>ml</v>
          </cell>
          <cell r="E184">
            <v>400</v>
          </cell>
          <cell r="F184">
            <v>363.63636363636363</v>
          </cell>
        </row>
        <row r="185">
          <cell r="B185" t="str">
            <v>HCl-6N</v>
          </cell>
          <cell r="C185" t="str">
            <v>ml</v>
          </cell>
          <cell r="E185">
            <v>450</v>
          </cell>
          <cell r="F185">
            <v>409.09090909090907</v>
          </cell>
        </row>
        <row r="186">
          <cell r="B186" t="str">
            <v>HClO4</v>
          </cell>
          <cell r="C186" t="str">
            <v>Gam</v>
          </cell>
          <cell r="E186">
            <v>1700</v>
          </cell>
          <cell r="F186">
            <v>1545.4545454545453</v>
          </cell>
        </row>
        <row r="187">
          <cell r="B187" t="str">
            <v>HF</v>
          </cell>
          <cell r="C187" t="str">
            <v>Gam (ml)</v>
          </cell>
          <cell r="E187">
            <v>850</v>
          </cell>
          <cell r="F187">
            <v>772.72727272727263</v>
          </cell>
        </row>
        <row r="188">
          <cell r="B188" t="str">
            <v>NH4I</v>
          </cell>
          <cell r="C188" t="str">
            <v>gam</v>
          </cell>
          <cell r="E188">
            <v>1500</v>
          </cell>
          <cell r="F188">
            <v>1363.6363636363635</v>
          </cell>
        </row>
        <row r="189">
          <cell r="B189" t="str">
            <v>Hg</v>
          </cell>
          <cell r="E189">
            <v>112000</v>
          </cell>
          <cell r="F189">
            <v>101818.18181818181</v>
          </cell>
        </row>
        <row r="190">
          <cell r="B190" t="str">
            <v>HgCl2</v>
          </cell>
          <cell r="C190" t="str">
            <v>gam</v>
          </cell>
          <cell r="E190">
            <v>29000</v>
          </cell>
          <cell r="F190">
            <v>26363.63636363636</v>
          </cell>
        </row>
        <row r="191">
          <cell r="B191" t="str">
            <v>HgCl</v>
          </cell>
          <cell r="C191" t="str">
            <v>gam</v>
          </cell>
          <cell r="E191">
            <v>29000</v>
          </cell>
          <cell r="F191">
            <v>26363.63636363636</v>
          </cell>
        </row>
        <row r="192">
          <cell r="B192" t="str">
            <v>HgI2</v>
          </cell>
          <cell r="C192" t="str">
            <v>Gam</v>
          </cell>
          <cell r="E192">
            <v>89000</v>
          </cell>
          <cell r="F192">
            <v>80909.090909090897</v>
          </cell>
        </row>
        <row r="193">
          <cell r="B193" t="str">
            <v>HgSO4</v>
          </cell>
          <cell r="C193" t="str">
            <v>gam</v>
          </cell>
          <cell r="E193">
            <v>45000</v>
          </cell>
          <cell r="F193">
            <v>40909.090909090904</v>
          </cell>
        </row>
        <row r="194">
          <cell r="B194" t="str">
            <v>HNO3</v>
          </cell>
          <cell r="C194" t="str">
            <v>ml</v>
          </cell>
          <cell r="E194">
            <v>660</v>
          </cell>
          <cell r="F194">
            <v>600</v>
          </cell>
        </row>
        <row r="195">
          <cell r="B195" t="str">
            <v xml:space="preserve">Hóa chất bảo quản mẫu </v>
          </cell>
          <cell r="C195" t="str">
            <v>ml</v>
          </cell>
          <cell r="E195">
            <v>8000</v>
          </cell>
          <cell r="F195">
            <v>7272.7272727272721</v>
          </cell>
        </row>
        <row r="196">
          <cell r="B196" t="str">
            <v>Hóa chất: Na2CO3, NH4Cl, K4FeCN6</v>
          </cell>
          <cell r="C196" t="str">
            <v>gram</v>
          </cell>
          <cell r="E196">
            <v>19500</v>
          </cell>
          <cell r="F196">
            <v>17727.272727272724</v>
          </cell>
        </row>
        <row r="197">
          <cell r="B197" t="str">
            <v>Hydroxylamin</v>
          </cell>
          <cell r="C197" t="str">
            <v>Gam</v>
          </cell>
          <cell r="E197">
            <v>1960</v>
          </cell>
          <cell r="F197">
            <v>1781.8181818181818</v>
          </cell>
        </row>
        <row r="198">
          <cell r="B198" t="str">
            <v>I2</v>
          </cell>
          <cell r="C198" t="str">
            <v>gam</v>
          </cell>
          <cell r="E198">
            <v>46000</v>
          </cell>
          <cell r="F198">
            <v>41818.181818181816</v>
          </cell>
        </row>
        <row r="199">
          <cell r="B199" t="str">
            <v>Iốt</v>
          </cell>
          <cell r="C199" t="str">
            <v>gam</v>
          </cell>
          <cell r="E199">
            <v>46000</v>
          </cell>
          <cell r="F199">
            <v>41818.181818181816</v>
          </cell>
        </row>
        <row r="200">
          <cell r="B200" t="str">
            <v>Isooctan</v>
          </cell>
          <cell r="C200" t="str">
            <v>ml</v>
          </cell>
          <cell r="E200">
            <v>1500</v>
          </cell>
          <cell r="F200">
            <v>1363.6363636363635</v>
          </cell>
        </row>
        <row r="201">
          <cell r="B201" t="str">
            <v>K(SbO)C4H4O6.1/2H2O</v>
          </cell>
          <cell r="C201" t="str">
            <v>Gam</v>
          </cell>
          <cell r="E201">
            <v>7600</v>
          </cell>
          <cell r="F201">
            <v>6909.0909090909081</v>
          </cell>
        </row>
        <row r="202">
          <cell r="B202" t="str">
            <v>K2C4H4O6</v>
          </cell>
          <cell r="C202" t="str">
            <v>ml</v>
          </cell>
          <cell r="E202">
            <v>950</v>
          </cell>
          <cell r="F202">
            <v>863.63636363636351</v>
          </cell>
        </row>
        <row r="203">
          <cell r="B203" t="str">
            <v>K2Cr2O7</v>
          </cell>
          <cell r="C203" t="str">
            <v>gam</v>
          </cell>
          <cell r="E203">
            <v>1800</v>
          </cell>
          <cell r="F203">
            <v>1636.3636363636363</v>
          </cell>
        </row>
        <row r="204">
          <cell r="B204" t="str">
            <v>K2CrO4</v>
          </cell>
          <cell r="C204" t="str">
            <v>gam</v>
          </cell>
          <cell r="E204">
            <v>1600</v>
          </cell>
          <cell r="F204">
            <v>1454.5454545454545</v>
          </cell>
        </row>
        <row r="205">
          <cell r="B205" t="str">
            <v>K2HPO4</v>
          </cell>
          <cell r="C205" t="str">
            <v>gam</v>
          </cell>
          <cell r="E205">
            <v>1600</v>
          </cell>
          <cell r="F205">
            <v>1454.5454545454545</v>
          </cell>
        </row>
        <row r="206">
          <cell r="B206" t="str">
            <v>K2S2O8</v>
          </cell>
          <cell r="C206" t="str">
            <v>gam</v>
          </cell>
          <cell r="E206">
            <v>2400</v>
          </cell>
          <cell r="F206">
            <v>2181.8181818181815</v>
          </cell>
        </row>
        <row r="207">
          <cell r="B207" t="str">
            <v>K2SO4</v>
          </cell>
          <cell r="C207" t="str">
            <v>gam</v>
          </cell>
          <cell r="E207">
            <v>600</v>
          </cell>
          <cell r="F207">
            <v>545.45454545454538</v>
          </cell>
        </row>
        <row r="208">
          <cell r="B208" t="str">
            <v>K3Fe(CN)6</v>
          </cell>
          <cell r="C208" t="str">
            <v>Gram</v>
          </cell>
          <cell r="E208">
            <v>8400</v>
          </cell>
          <cell r="F208">
            <v>7636.363636363636</v>
          </cell>
        </row>
        <row r="209">
          <cell r="B209" t="str">
            <v>K4Fe(CN)6</v>
          </cell>
          <cell r="C209" t="str">
            <v>gam</v>
          </cell>
          <cell r="E209">
            <v>1200</v>
          </cell>
          <cell r="F209">
            <v>1090.9090909090908</v>
          </cell>
        </row>
        <row r="210">
          <cell r="B210" t="str">
            <v>K4Fe(CN)6-3H2O</v>
          </cell>
          <cell r="C210" t="str">
            <v>Gram</v>
          </cell>
          <cell r="E210">
            <v>1200</v>
          </cell>
          <cell r="F210">
            <v>1090.9090909090908</v>
          </cell>
        </row>
        <row r="211">
          <cell r="B211" t="str">
            <v>K4P2O7</v>
          </cell>
          <cell r="C211" t="str">
            <v>gam</v>
          </cell>
          <cell r="E211">
            <v>1900</v>
          </cell>
          <cell r="F211">
            <v>1727.272727272727</v>
          </cell>
        </row>
        <row r="212">
          <cell r="B212" t="str">
            <v>Kali antimontatrat</v>
          </cell>
          <cell r="C212" t="str">
            <v>gam</v>
          </cell>
          <cell r="E212">
            <v>2500</v>
          </cell>
          <cell r="F212">
            <v>2272.7272727272725</v>
          </cell>
        </row>
        <row r="213">
          <cell r="B213" t="str">
            <v>Kaliphatalat</v>
          </cell>
          <cell r="C213" t="str">
            <v>Gam</v>
          </cell>
          <cell r="E213">
            <v>2500</v>
          </cell>
          <cell r="F213">
            <v>2272.7272727272725</v>
          </cell>
        </row>
        <row r="214">
          <cell r="B214" t="str">
            <v>KCl</v>
          </cell>
          <cell r="C214" t="str">
            <v>Gam</v>
          </cell>
          <cell r="E214">
            <v>350</v>
          </cell>
          <cell r="F214">
            <v>318.18181818181813</v>
          </cell>
        </row>
        <row r="215">
          <cell r="B215" t="str">
            <v>KCN</v>
          </cell>
          <cell r="C215" t="str">
            <v>Gam</v>
          </cell>
          <cell r="E215">
            <v>16000</v>
          </cell>
          <cell r="F215">
            <v>14545.454545454544</v>
          </cell>
        </row>
        <row r="216">
          <cell r="B216" t="str">
            <v>KI</v>
          </cell>
          <cell r="C216" t="str">
            <v>gam</v>
          </cell>
          <cell r="E216">
            <v>6000</v>
          </cell>
          <cell r="F216">
            <v>5454.545454545454</v>
          </cell>
        </row>
        <row r="217">
          <cell r="B217" t="str">
            <v>KIO3</v>
          </cell>
          <cell r="C217" t="str">
            <v>gam</v>
          </cell>
          <cell r="E217">
            <v>19000</v>
          </cell>
          <cell r="F217">
            <v>17272.727272727272</v>
          </cell>
        </row>
        <row r="218">
          <cell r="B218" t="str">
            <v>KMnO4</v>
          </cell>
          <cell r="C218" t="str">
            <v>gam</v>
          </cell>
          <cell r="E218">
            <v>2250</v>
          </cell>
          <cell r="F218">
            <v>2045.4545454545453</v>
          </cell>
        </row>
        <row r="219">
          <cell r="B219" t="str">
            <v>KNO2</v>
          </cell>
          <cell r="C219" t="str">
            <v>gam</v>
          </cell>
          <cell r="E219">
            <v>8700</v>
          </cell>
          <cell r="F219">
            <v>7909.0909090909081</v>
          </cell>
        </row>
        <row r="220">
          <cell r="B220" t="str">
            <v>KNO2</v>
          </cell>
          <cell r="C220" t="str">
            <v xml:space="preserve">ml </v>
          </cell>
          <cell r="E220">
            <v>2400</v>
          </cell>
          <cell r="F220">
            <v>2181.8181818181815</v>
          </cell>
        </row>
        <row r="221">
          <cell r="B221" t="str">
            <v>KNO3</v>
          </cell>
          <cell r="C221" t="str">
            <v>gam</v>
          </cell>
          <cell r="E221">
            <v>1380</v>
          </cell>
          <cell r="F221">
            <v>1254.5454545454545</v>
          </cell>
        </row>
        <row r="222">
          <cell r="B222" t="str">
            <v>Toluen</v>
          </cell>
          <cell r="C222" t="str">
            <v>ml</v>
          </cell>
          <cell r="E222">
            <v>1000</v>
          </cell>
          <cell r="F222">
            <v>909.09090909090901</v>
          </cell>
        </row>
        <row r="223">
          <cell r="B223" t="str">
            <v>Khăn lau 30 x 30</v>
          </cell>
          <cell r="C223" t="str">
            <v>cái</v>
          </cell>
          <cell r="E223">
            <v>2000</v>
          </cell>
          <cell r="F223">
            <v>1818.181818181818</v>
          </cell>
        </row>
        <row r="224">
          <cell r="B224" t="str">
            <v>KOH</v>
          </cell>
          <cell r="C224" t="str">
            <v>gam</v>
          </cell>
          <cell r="E224">
            <v>1400</v>
          </cell>
          <cell r="F224">
            <v>1272.7272727272725</v>
          </cell>
        </row>
        <row r="225">
          <cell r="B225" t="str">
            <v>KOH - 1M</v>
          </cell>
          <cell r="C225" t="str">
            <v>ml</v>
          </cell>
          <cell r="E225">
            <v>225</v>
          </cell>
          <cell r="F225">
            <v>204.54545454545453</v>
          </cell>
        </row>
        <row r="226">
          <cell r="B226" t="str">
            <v>KOH - 8M</v>
          </cell>
          <cell r="C226" t="str">
            <v>ml</v>
          </cell>
          <cell r="E226">
            <v>475</v>
          </cell>
          <cell r="F226">
            <v>431.81818181818176</v>
          </cell>
        </row>
        <row r="227">
          <cell r="B227" t="str">
            <v>KH2PO4</v>
          </cell>
          <cell r="C227" t="str">
            <v>Gam</v>
          </cell>
          <cell r="E227">
            <v>1500</v>
          </cell>
          <cell r="F227">
            <v>1363.6363636363635</v>
          </cell>
        </row>
        <row r="228">
          <cell r="B228" t="str">
            <v>KH2­PO4</v>
          </cell>
          <cell r="C228" t="str">
            <v>Gam</v>
          </cell>
          <cell r="E228">
            <v>1500</v>
          </cell>
          <cell r="F228">
            <v>1363.6363636363635</v>
          </cell>
        </row>
        <row r="229">
          <cell r="B229" t="str">
            <v>Khăn lau</v>
          </cell>
          <cell r="C229" t="str">
            <v>Cái</v>
          </cell>
          <cell r="E229">
            <v>20000</v>
          </cell>
          <cell r="F229">
            <v>18181.81818181818</v>
          </cell>
        </row>
        <row r="230">
          <cell r="B230" t="str">
            <v>Khẩu trang y tế</v>
          </cell>
          <cell r="C230" t="str">
            <v>Hộp</v>
          </cell>
          <cell r="E230">
            <v>400000</v>
          </cell>
          <cell r="F230">
            <v>363636.36363636359</v>
          </cell>
        </row>
        <row r="231">
          <cell r="B231" t="str">
            <v>Khí Acetylen</v>
          </cell>
          <cell r="C231" t="str">
            <v>bình</v>
          </cell>
          <cell r="E231">
            <v>3000000</v>
          </cell>
          <cell r="F231">
            <v>2727272.7272727271</v>
          </cell>
        </row>
        <row r="232">
          <cell r="B232" t="str">
            <v>Khí argon</v>
          </cell>
          <cell r="C232" t="str">
            <v>bình</v>
          </cell>
          <cell r="E232">
            <v>650000</v>
          </cell>
          <cell r="F232">
            <v>590909.09090909082</v>
          </cell>
        </row>
        <row r="233">
          <cell r="B233" t="str">
            <v>Khí axetylen</v>
          </cell>
          <cell r="C233" t="str">
            <v>bình</v>
          </cell>
          <cell r="E233">
            <v>1000000</v>
          </cell>
          <cell r="F233">
            <v>909090.90909090906</v>
          </cell>
        </row>
        <row r="234">
          <cell r="B234" t="str">
            <v>Khí chuẩn Metan</v>
          </cell>
          <cell r="C234" t="str">
            <v>bình</v>
          </cell>
          <cell r="E234">
            <v>35000000</v>
          </cell>
          <cell r="F234">
            <v>31818181.818181816</v>
          </cell>
        </row>
        <row r="235">
          <cell r="B235" t="str">
            <v>Khí chuẩn BTEX</v>
          </cell>
          <cell r="C235" t="str">
            <v>bình</v>
          </cell>
          <cell r="E235">
            <v>85000000</v>
          </cell>
          <cell r="F235">
            <v>77272727.272727266</v>
          </cell>
        </row>
        <row r="236">
          <cell r="B236" t="str">
            <v>Khí Heli</v>
          </cell>
          <cell r="C236" t="str">
            <v>bình</v>
          </cell>
          <cell r="E236">
            <v>4700000</v>
          </cell>
          <cell r="F236">
            <v>4272727.2727272725</v>
          </cell>
        </row>
        <row r="237">
          <cell r="B237" t="str">
            <v>Khí Hydro</v>
          </cell>
          <cell r="C237" t="str">
            <v>bình</v>
          </cell>
          <cell r="E237">
            <v>1700000</v>
          </cell>
          <cell r="F237">
            <v>1545454.5454545454</v>
          </cell>
        </row>
        <row r="238">
          <cell r="B238" t="str">
            <v>Khí Nitơ</v>
          </cell>
          <cell r="C238" t="str">
            <v>bình</v>
          </cell>
          <cell r="E238">
            <v>1200000</v>
          </cell>
          <cell r="F238">
            <v>1090909.0909090908</v>
          </cell>
        </row>
        <row r="239">
          <cell r="B239" t="str">
            <v xml:space="preserve">Kali hydrrophtalat (C8H5KO4 ) </v>
          </cell>
          <cell r="C239" t="str">
            <v>gam</v>
          </cell>
          <cell r="E239">
            <v>2500</v>
          </cell>
          <cell r="F239">
            <v>2272.7272727272725</v>
          </cell>
        </row>
        <row r="240">
          <cell r="B240" t="str">
            <v>Li2SO4.H2O</v>
          </cell>
          <cell r="C240" t="str">
            <v>gam</v>
          </cell>
          <cell r="E240">
            <v>1600</v>
          </cell>
          <cell r="F240">
            <v>1454.5454545454545</v>
          </cell>
        </row>
        <row r="241">
          <cell r="B241" t="str">
            <v>LiNO3</v>
          </cell>
          <cell r="C241" t="str">
            <v>Gam</v>
          </cell>
          <cell r="E241">
            <v>25000</v>
          </cell>
          <cell r="F241">
            <v>22727.272727272724</v>
          </cell>
        </row>
        <row r="242">
          <cell r="B242" t="str">
            <v>Metyl Iso butylketon (MIBK)</v>
          </cell>
          <cell r="C242" t="str">
            <v>Gam</v>
          </cell>
          <cell r="E242">
            <v>98000</v>
          </cell>
          <cell r="F242">
            <v>89090.909090909088</v>
          </cell>
        </row>
        <row r="243">
          <cell r="B243" t="str">
            <v>Màng lọc</v>
          </cell>
          <cell r="C243" t="str">
            <v>Cái</v>
          </cell>
          <cell r="E243">
            <v>8000</v>
          </cell>
          <cell r="F243">
            <v>7272.7272727272721</v>
          </cell>
        </row>
        <row r="244">
          <cell r="B244" t="str">
            <v>Màng lọc cho FIAS</v>
          </cell>
          <cell r="C244" t="str">
            <v>cái</v>
          </cell>
          <cell r="E244">
            <v>250000</v>
          </cell>
          <cell r="F244">
            <v>227272.72727272726</v>
          </cell>
        </row>
        <row r="245">
          <cell r="B245" t="str">
            <v>Matit chịu nhiệt</v>
          </cell>
          <cell r="C245" t="str">
            <v>gram</v>
          </cell>
          <cell r="E245">
            <v>220</v>
          </cell>
          <cell r="F245">
            <v>199.99999999999997</v>
          </cell>
        </row>
        <row r="246">
          <cell r="B246" t="str">
            <v xml:space="preserve">Mặt nạ phòng độc </v>
          </cell>
          <cell r="C246" t="str">
            <v>bộ</v>
          </cell>
          <cell r="E246">
            <v>320000</v>
          </cell>
          <cell r="F246">
            <v>290909.09090909088</v>
          </cell>
        </row>
        <row r="247">
          <cell r="B247" t="str">
            <v>Methyl đỏ</v>
          </cell>
          <cell r="C247" t="str">
            <v>gam</v>
          </cell>
          <cell r="E247">
            <v>2400</v>
          </cell>
          <cell r="F247">
            <v>2181.8181818181815</v>
          </cell>
        </row>
        <row r="248">
          <cell r="B248" t="str">
            <v>Methyl da cam</v>
          </cell>
          <cell r="C248" t="str">
            <v>gam</v>
          </cell>
          <cell r="E248">
            <v>120000</v>
          </cell>
          <cell r="F248">
            <v>109090.90909090909</v>
          </cell>
        </row>
        <row r="249">
          <cell r="B249" t="str">
            <v>Methylen xanh</v>
          </cell>
          <cell r="C249" t="str">
            <v>gam</v>
          </cell>
          <cell r="E249">
            <v>105000</v>
          </cell>
          <cell r="F249">
            <v>95454.545454545441</v>
          </cell>
        </row>
        <row r="250">
          <cell r="B250" t="str">
            <v>Methanol</v>
          </cell>
          <cell r="C250" t="str">
            <v>gam</v>
          </cell>
          <cell r="E250">
            <v>600</v>
          </cell>
          <cell r="F250">
            <v>545.45454545454538</v>
          </cell>
        </row>
        <row r="251">
          <cell r="B251" t="str">
            <v>Mg(NO3)2.6H2O</v>
          </cell>
          <cell r="C251" t="str">
            <v>Gam</v>
          </cell>
          <cell r="E251">
            <v>2400</v>
          </cell>
          <cell r="F251">
            <v>2181.8181818181815</v>
          </cell>
        </row>
        <row r="252">
          <cell r="B252" t="str">
            <v>MgCl2</v>
          </cell>
          <cell r="C252" t="str">
            <v>Gam</v>
          </cell>
          <cell r="E252">
            <v>750</v>
          </cell>
          <cell r="F252">
            <v>681.81818181818176</v>
          </cell>
        </row>
        <row r="253">
          <cell r="B253" t="str">
            <v>MgSO4.7H2O</v>
          </cell>
          <cell r="C253" t="str">
            <v>gam</v>
          </cell>
          <cell r="E253">
            <v>1400</v>
          </cell>
          <cell r="F253">
            <v>1272.7272727272725</v>
          </cell>
        </row>
        <row r="254">
          <cell r="B254" t="str">
            <v>Murexit</v>
          </cell>
          <cell r="C254" t="str">
            <v>Gam</v>
          </cell>
          <cell r="E254">
            <v>32000</v>
          </cell>
          <cell r="F254">
            <v>29090.909090909088</v>
          </cell>
        </row>
        <row r="255">
          <cell r="B255" t="str">
            <v>Mực máy in</v>
          </cell>
          <cell r="C255" t="str">
            <v>hộp</v>
          </cell>
          <cell r="E255">
            <v>400000</v>
          </cell>
          <cell r="F255">
            <v>363636.36363636359</v>
          </cell>
        </row>
        <row r="256">
          <cell r="B256" t="str">
            <v>Mực máy in laser</v>
          </cell>
          <cell r="C256" t="str">
            <v>hộp</v>
          </cell>
          <cell r="E256">
            <v>512000</v>
          </cell>
          <cell r="F256">
            <v>465454.54545454541</v>
          </cell>
        </row>
        <row r="257">
          <cell r="B257" t="str">
            <v>N-(1-naphyl)-ethyllediamine</v>
          </cell>
          <cell r="C257" t="str">
            <v>gam</v>
          </cell>
          <cell r="E257">
            <v>125000</v>
          </cell>
          <cell r="F257">
            <v>113636.36363636363</v>
          </cell>
        </row>
        <row r="258">
          <cell r="B258" t="str">
            <v>NaAsO2</v>
          </cell>
          <cell r="E258">
            <v>56000</v>
          </cell>
          <cell r="F258">
            <v>50909.090909090904</v>
          </cell>
        </row>
        <row r="259">
          <cell r="B259" t="str">
            <v>Na(PO3)6</v>
          </cell>
          <cell r="C259" t="str">
            <v>gam</v>
          </cell>
          <cell r="E259">
            <v>4700</v>
          </cell>
          <cell r="F259">
            <v>4272.7272727272721</v>
          </cell>
        </row>
        <row r="260">
          <cell r="B260" t="str">
            <v>Na2[Fe(CN)5.NO].2H2O</v>
          </cell>
          <cell r="C260" t="str">
            <v>gam</v>
          </cell>
          <cell r="E260">
            <v>92000</v>
          </cell>
          <cell r="F260">
            <v>83636.363636363632</v>
          </cell>
        </row>
        <row r="261">
          <cell r="B261" t="str">
            <v>Na2CO3</v>
          </cell>
          <cell r="C261" t="str">
            <v>Gam</v>
          </cell>
          <cell r="E261">
            <v>560</v>
          </cell>
          <cell r="F261">
            <v>509.09090909090907</v>
          </cell>
        </row>
        <row r="262">
          <cell r="B262" t="str">
            <v>Na2HPO4</v>
          </cell>
          <cell r="C262" t="str">
            <v>gam</v>
          </cell>
          <cell r="E262">
            <v>1400</v>
          </cell>
          <cell r="F262">
            <v>1272.7272727272725</v>
          </cell>
        </row>
        <row r="263">
          <cell r="B263" t="str">
            <v>Na2MoO4</v>
          </cell>
          <cell r="C263" t="str">
            <v>gam</v>
          </cell>
          <cell r="E263">
            <v>12800</v>
          </cell>
          <cell r="F263">
            <v>11636.363636363636</v>
          </cell>
        </row>
        <row r="264">
          <cell r="B264" t="str">
            <v>Na2S2O3</v>
          </cell>
          <cell r="C264" t="str">
            <v>gram</v>
          </cell>
          <cell r="E264">
            <v>600</v>
          </cell>
          <cell r="F264">
            <v>545.45454545454538</v>
          </cell>
        </row>
        <row r="265">
          <cell r="B265" t="str">
            <v>Na2S2O3 0,1N</v>
          </cell>
          <cell r="C265" t="str">
            <v>gram</v>
          </cell>
          <cell r="E265">
            <v>800</v>
          </cell>
          <cell r="F265">
            <v>727.27272727272725</v>
          </cell>
        </row>
        <row r="266">
          <cell r="B266" t="str">
            <v>Na2S2O5 0,1N</v>
          </cell>
          <cell r="C266" t="str">
            <v>gram</v>
          </cell>
          <cell r="E266">
            <v>1000</v>
          </cell>
          <cell r="F266">
            <v>909.09090909090901</v>
          </cell>
        </row>
        <row r="267">
          <cell r="B267" t="str">
            <v>Na2SO3</v>
          </cell>
          <cell r="C267" t="str">
            <v>gam</v>
          </cell>
          <cell r="E267">
            <v>1200</v>
          </cell>
          <cell r="F267">
            <v>1090.9090909090908</v>
          </cell>
        </row>
        <row r="268">
          <cell r="B268" t="str">
            <v>Na2SO4</v>
          </cell>
          <cell r="C268" t="str">
            <v>Gam</v>
          </cell>
          <cell r="E268">
            <v>540</v>
          </cell>
          <cell r="F268">
            <v>490.90909090909088</v>
          </cell>
        </row>
        <row r="269">
          <cell r="B269" t="str">
            <v>Na2SO4.2H2O</v>
          </cell>
          <cell r="C269" t="str">
            <v>gam</v>
          </cell>
          <cell r="E269">
            <v>1000</v>
          </cell>
          <cell r="F269">
            <v>909.09090909090901</v>
          </cell>
        </row>
        <row r="270">
          <cell r="B270" t="str">
            <v>Na3C6H5O7.2H2O</v>
          </cell>
          <cell r="C270" t="str">
            <v>gam</v>
          </cell>
          <cell r="E270">
            <v>1830</v>
          </cell>
          <cell r="F270">
            <v>1663.6363636363635</v>
          </cell>
        </row>
        <row r="271">
          <cell r="B271" t="str">
            <v>Na2B4O7.10H2O</v>
          </cell>
          <cell r="C271" t="str">
            <v>gam</v>
          </cell>
          <cell r="E271">
            <v>8900</v>
          </cell>
          <cell r="F271">
            <v>8090.9090909090901</v>
          </cell>
        </row>
        <row r="272">
          <cell r="B272" t="str">
            <v>NaBH4</v>
          </cell>
          <cell r="C272" t="str">
            <v>gam</v>
          </cell>
          <cell r="E272">
            <v>52400</v>
          </cell>
          <cell r="F272">
            <v>47636.363636363632</v>
          </cell>
        </row>
        <row r="273">
          <cell r="B273" t="str">
            <v>NaBr</v>
          </cell>
          <cell r="C273" t="str">
            <v>gram</v>
          </cell>
          <cell r="E273">
            <v>2200</v>
          </cell>
          <cell r="F273">
            <v>1999.9999999999998</v>
          </cell>
        </row>
        <row r="274">
          <cell r="B274" t="str">
            <v>NaC7H5NaO3</v>
          </cell>
          <cell r="C274" t="str">
            <v>gam</v>
          </cell>
          <cell r="E274">
            <v>4440</v>
          </cell>
          <cell r="F274">
            <v>4036.363636363636</v>
          </cell>
        </row>
        <row r="275">
          <cell r="B275" t="str">
            <v>NaCl</v>
          </cell>
          <cell r="C275" t="str">
            <v>Gam</v>
          </cell>
          <cell r="E275">
            <v>700</v>
          </cell>
          <cell r="F275">
            <v>636.36363636363626</v>
          </cell>
        </row>
        <row r="276">
          <cell r="B276" t="str">
            <v>NaClO</v>
          </cell>
          <cell r="C276" t="str">
            <v>ml</v>
          </cell>
          <cell r="E276">
            <v>2850</v>
          </cell>
          <cell r="F276">
            <v>2590.9090909090905</v>
          </cell>
        </row>
        <row r="277">
          <cell r="B277" t="str">
            <v>NaCN</v>
          </cell>
          <cell r="C277" t="str">
            <v>gam</v>
          </cell>
          <cell r="E277">
            <v>1770</v>
          </cell>
          <cell r="F277">
            <v>1609.090909090909</v>
          </cell>
        </row>
        <row r="278">
          <cell r="B278" t="str">
            <v>NaCH3COO</v>
          </cell>
          <cell r="C278" t="str">
            <v>Gam</v>
          </cell>
          <cell r="E278">
            <v>940</v>
          </cell>
          <cell r="F278">
            <v>854.5454545454545</v>
          </cell>
        </row>
        <row r="279">
          <cell r="B279" t="str">
            <v>NaF</v>
          </cell>
          <cell r="C279" t="str">
            <v>Gam</v>
          </cell>
          <cell r="E279">
            <v>2400</v>
          </cell>
          <cell r="F279">
            <v>2181.8181818181815</v>
          </cell>
        </row>
        <row r="280">
          <cell r="B280" t="str">
            <v>NaHCO3</v>
          </cell>
          <cell r="C280" t="str">
            <v>ml</v>
          </cell>
          <cell r="E280">
            <v>835</v>
          </cell>
          <cell r="F280">
            <v>759.09090909090901</v>
          </cell>
        </row>
        <row r="281">
          <cell r="B281" t="str">
            <v>NaKC4H4O6</v>
          </cell>
          <cell r="C281" t="str">
            <v>Gam</v>
          </cell>
          <cell r="E281">
            <v>2800</v>
          </cell>
          <cell r="F281">
            <v>2545.454545454545</v>
          </cell>
        </row>
        <row r="282">
          <cell r="B282" t="str">
            <v>NaNO2</v>
          </cell>
          <cell r="C282" t="str">
            <v>gam</v>
          </cell>
          <cell r="E282">
            <v>940</v>
          </cell>
          <cell r="F282">
            <v>854.5454545454545</v>
          </cell>
        </row>
        <row r="283">
          <cell r="B283" t="str">
            <v>NaNO3</v>
          </cell>
          <cell r="C283" t="str">
            <v>Gam</v>
          </cell>
          <cell r="E283">
            <v>1400</v>
          </cell>
          <cell r="F283">
            <v>1272.7272727272725</v>
          </cell>
        </row>
        <row r="284">
          <cell r="B284" t="str">
            <v>NaOH</v>
          </cell>
          <cell r="C284" t="str">
            <v>Gam</v>
          </cell>
          <cell r="E284">
            <v>980</v>
          </cell>
          <cell r="F284">
            <v>890.90909090909088</v>
          </cell>
        </row>
        <row r="285">
          <cell r="B285" t="str">
            <v>NaOH 1N</v>
          </cell>
          <cell r="C285" t="str">
            <v>ml</v>
          </cell>
          <cell r="E285">
            <v>300</v>
          </cell>
          <cell r="F285">
            <v>272.72727272727269</v>
          </cell>
        </row>
        <row r="286">
          <cell r="B286" t="str">
            <v xml:space="preserve">Natri tetracloromercurat </v>
          </cell>
          <cell r="C286" t="str">
            <v>gam</v>
          </cell>
          <cell r="E286">
            <v>15000</v>
          </cell>
          <cell r="F286">
            <v>13636.363636363636</v>
          </cell>
        </row>
        <row r="287">
          <cell r="B287" t="str">
            <v>Naphtylaminclohydrat</v>
          </cell>
          <cell r="C287" t="str">
            <v>gam</v>
          </cell>
          <cell r="E287">
            <v>37000</v>
          </cell>
          <cell r="F287">
            <v>33636.363636363632</v>
          </cell>
        </row>
        <row r="288">
          <cell r="B288" t="str">
            <v>Natri Sunfit khan (Na2SO3)</v>
          </cell>
          <cell r="C288" t="str">
            <v>gam</v>
          </cell>
          <cell r="E288">
            <v>75000</v>
          </cell>
          <cell r="F288">
            <v>68181.818181818177</v>
          </cell>
        </row>
        <row r="289">
          <cell r="B289" t="str">
            <v>Natrimethyl đỏ</v>
          </cell>
          <cell r="C289" t="str">
            <v>gam</v>
          </cell>
          <cell r="E289">
            <v>260000</v>
          </cell>
          <cell r="F289">
            <v>236363.63636363635</v>
          </cell>
        </row>
        <row r="290">
          <cell r="B290" t="str">
            <v>n-Butanol</v>
          </cell>
          <cell r="C290" t="str">
            <v>ml</v>
          </cell>
          <cell r="E290">
            <v>780</v>
          </cell>
          <cell r="F290">
            <v>709.09090909090901</v>
          </cell>
        </row>
        <row r="291">
          <cell r="B291" t="str">
            <v>n-Hexan</v>
          </cell>
          <cell r="C291" t="str">
            <v>ml</v>
          </cell>
          <cell r="E291">
            <v>1600</v>
          </cell>
          <cell r="F291">
            <v>1454.5454545454545</v>
          </cell>
        </row>
        <row r="292">
          <cell r="B292" t="str">
            <v>N,N-dimethyl-pphenylenediamineoxalate</v>
          </cell>
          <cell r="C292" t="str">
            <v>gam</v>
          </cell>
          <cell r="E292">
            <v>575000</v>
          </cell>
          <cell r="F292">
            <v>522727.27272727271</v>
          </cell>
        </row>
        <row r="293">
          <cell r="B293" t="str">
            <v>Nitơ lỏng</v>
          </cell>
          <cell r="C293" t="str">
            <v>Lít</v>
          </cell>
          <cell r="E293">
            <v>100000</v>
          </cell>
          <cell r="F293">
            <v>90909.090909090897</v>
          </cell>
        </row>
        <row r="294">
          <cell r="B294" t="str">
            <v>N-Naphtylamin</v>
          </cell>
          <cell r="C294" t="str">
            <v>gam</v>
          </cell>
          <cell r="E294">
            <v>705000</v>
          </cell>
          <cell r="F294">
            <v>640909.09090909082</v>
          </cell>
        </row>
        <row r="295">
          <cell r="B295" t="str">
            <v>Nước cất</v>
          </cell>
          <cell r="C295" t="str">
            <v>Lít</v>
          </cell>
          <cell r="E295">
            <v>5000</v>
          </cell>
          <cell r="F295">
            <v>4545.454545454545</v>
          </cell>
        </row>
        <row r="296">
          <cell r="B296" t="str">
            <v>Nước cất (ml)</v>
          </cell>
          <cell r="C296" t="str">
            <v>ml</v>
          </cell>
          <cell r="E296">
            <v>5</v>
          </cell>
          <cell r="F296">
            <v>4.545454545454545</v>
          </cell>
        </row>
        <row r="297">
          <cell r="B297" t="str">
            <v>Nước cất không chứa NH4+</v>
          </cell>
          <cell r="C297" t="str">
            <v>ml</v>
          </cell>
          <cell r="E297">
            <v>100</v>
          </cell>
          <cell r="F297">
            <v>90.909090909090907</v>
          </cell>
        </row>
        <row r="298">
          <cell r="B298" t="str">
            <v>Nước rửa dụng cụ</v>
          </cell>
          <cell r="C298" t="str">
            <v>lít</v>
          </cell>
          <cell r="E298">
            <v>280</v>
          </cell>
          <cell r="F298">
            <v>254.54545454545453</v>
          </cell>
        </row>
        <row r="299">
          <cell r="B299" t="str">
            <v>Nước rửa đầu đo</v>
          </cell>
          <cell r="C299" t="str">
            <v>Lít</v>
          </cell>
          <cell r="E299">
            <v>390000</v>
          </cell>
          <cell r="F299">
            <v>354545.45454545453</v>
          </cell>
        </row>
        <row r="300">
          <cell r="B300" t="str">
            <v>NH3</v>
          </cell>
          <cell r="C300" t="str">
            <v>ml</v>
          </cell>
          <cell r="E300">
            <v>44</v>
          </cell>
          <cell r="F300">
            <v>40</v>
          </cell>
        </row>
        <row r="301">
          <cell r="B301" t="str">
            <v>NH4Cl</v>
          </cell>
          <cell r="C301" t="str">
            <v>gam</v>
          </cell>
          <cell r="E301">
            <v>800</v>
          </cell>
          <cell r="F301">
            <v>727.27272727272725</v>
          </cell>
        </row>
        <row r="302">
          <cell r="B302" t="str">
            <v>NH4COOH</v>
          </cell>
          <cell r="C302" t="str">
            <v>Gam</v>
          </cell>
          <cell r="E302">
            <v>900</v>
          </cell>
          <cell r="F302">
            <v>818.18181818181813</v>
          </cell>
        </row>
        <row r="303">
          <cell r="B303" t="str">
            <v>NH4NO3</v>
          </cell>
          <cell r="C303" t="str">
            <v>ml</v>
          </cell>
          <cell r="E303">
            <v>980</v>
          </cell>
          <cell r="F303">
            <v>890.90909090909088</v>
          </cell>
        </row>
        <row r="304">
          <cell r="B304" t="str">
            <v>NH4OCl</v>
          </cell>
          <cell r="C304" t="str">
            <v>gam</v>
          </cell>
          <cell r="E304">
            <v>12000</v>
          </cell>
          <cell r="F304">
            <v>10909.090909090908</v>
          </cell>
        </row>
        <row r="305">
          <cell r="B305" t="str">
            <v>NH4OH</v>
          </cell>
          <cell r="C305" t="str">
            <v>ml</v>
          </cell>
          <cell r="E305">
            <v>250</v>
          </cell>
          <cell r="F305">
            <v>227.27272727272725</v>
          </cell>
        </row>
        <row r="306">
          <cell r="B306" t="str">
            <v>Oxalic</v>
          </cell>
          <cell r="C306" t="str">
            <v>gam</v>
          </cell>
          <cell r="E306">
            <v>1780</v>
          </cell>
          <cell r="F306">
            <v>1618.181818181818</v>
          </cell>
        </row>
        <row r="307">
          <cell r="B307" t="str">
            <v>Ống chuẩn AgNO3 0,1N</v>
          </cell>
          <cell r="C307" t="str">
            <v>ống</v>
          </cell>
          <cell r="E307">
            <v>4000000</v>
          </cell>
          <cell r="F307">
            <v>3636363.6363636362</v>
          </cell>
        </row>
        <row r="308">
          <cell r="B308" t="str">
            <v>Ống chuẩn K2C2O7 0.1N</v>
          </cell>
          <cell r="C308" t="str">
            <v>ống</v>
          </cell>
          <cell r="E308">
            <v>2200000</v>
          </cell>
          <cell r="F308">
            <v>1999999.9999999998</v>
          </cell>
        </row>
        <row r="309">
          <cell r="B309" t="str">
            <v>Ống dẫn khí</v>
          </cell>
          <cell r="C309" t="str">
            <v>cái</v>
          </cell>
          <cell r="E309">
            <v>250000</v>
          </cell>
          <cell r="F309">
            <v>227272.72727272726</v>
          </cell>
        </row>
        <row r="310">
          <cell r="B310" t="str">
            <v>Ống ổn nhiệt dòng khí</v>
          </cell>
          <cell r="C310" t="str">
            <v>cái</v>
          </cell>
          <cell r="E310">
            <v>425000</v>
          </cell>
          <cell r="F310">
            <v>386363.63636363635</v>
          </cell>
        </row>
        <row r="311">
          <cell r="B311" t="str">
            <v>Pararosanilin</v>
          </cell>
          <cell r="C311" t="str">
            <v>gam</v>
          </cell>
          <cell r="E311">
            <v>22000</v>
          </cell>
          <cell r="F311">
            <v>20000</v>
          </cell>
        </row>
        <row r="312">
          <cell r="B312" t="str">
            <v>PdCl2</v>
          </cell>
          <cell r="C312" t="str">
            <v>gam</v>
          </cell>
          <cell r="E312">
            <v>5590000</v>
          </cell>
          <cell r="F312">
            <v>5081818.1818181816</v>
          </cell>
        </row>
        <row r="313">
          <cell r="B313" t="str">
            <v>Pin chuyên dụng</v>
          </cell>
          <cell r="C313" t="str">
            <v>cục</v>
          </cell>
          <cell r="E313">
            <v>25000</v>
          </cell>
          <cell r="F313">
            <v>22727.272727272724</v>
          </cell>
        </row>
        <row r="314">
          <cell r="B314" t="str">
            <v>Pipet Pasteur</v>
          </cell>
          <cell r="C314" t="str">
            <v>cái</v>
          </cell>
          <cell r="E314">
            <v>500</v>
          </cell>
          <cell r="F314">
            <v>454.5454545454545</v>
          </cell>
        </row>
        <row r="315">
          <cell r="B315" t="str">
            <v>Polyseed</v>
          </cell>
          <cell r="C315" t="str">
            <v>viên</v>
          </cell>
          <cell r="E315">
            <v>135000</v>
          </cell>
          <cell r="F315">
            <v>122727.27272727272</v>
          </cell>
        </row>
        <row r="316">
          <cell r="B316" t="str">
            <v>Phenol chuẩn</v>
          </cell>
          <cell r="C316" t="str">
            <v>Gram</v>
          </cell>
          <cell r="E316">
            <v>2500</v>
          </cell>
          <cell r="F316">
            <v>2272.7272727272725</v>
          </cell>
        </row>
        <row r="317">
          <cell r="B317" t="str">
            <v>Phenolphtalein</v>
          </cell>
          <cell r="C317" t="str">
            <v>Gam</v>
          </cell>
          <cell r="E317">
            <v>5000</v>
          </cell>
          <cell r="F317">
            <v>4545.454545454545</v>
          </cell>
        </row>
        <row r="318">
          <cell r="B318" t="str">
            <v>SPADNS (C16H9O11N2S3Na3)</v>
          </cell>
          <cell r="C318" t="str">
            <v>gam</v>
          </cell>
          <cell r="E318">
            <v>115000</v>
          </cell>
          <cell r="F318">
            <v>104545.45454545454</v>
          </cell>
        </row>
        <row r="319">
          <cell r="B319" t="str">
            <v xml:space="preserve">Septa cho vial </v>
          </cell>
          <cell r="C319" t="str">
            <v>Cái</v>
          </cell>
          <cell r="E319">
            <v>7500</v>
          </cell>
          <cell r="F319">
            <v>6818.181818181818</v>
          </cell>
        </row>
        <row r="320">
          <cell r="B320" t="str">
            <v xml:space="preserve">Silicagel </v>
          </cell>
          <cell r="C320" t="str">
            <v>gam</v>
          </cell>
          <cell r="E320">
            <v>1000</v>
          </cell>
          <cell r="F320">
            <v>909.09090909090901</v>
          </cell>
        </row>
        <row r="321">
          <cell r="B321" t="str">
            <v>SnCl2.2H2O</v>
          </cell>
          <cell r="C321" t="str">
            <v>gam</v>
          </cell>
          <cell r="E321">
            <v>16000</v>
          </cell>
          <cell r="F321">
            <v>14545.454545454544</v>
          </cell>
        </row>
        <row r="322">
          <cell r="B322" t="str">
            <v>Sodium tetraborate decahydrate</v>
          </cell>
          <cell r="C322" t="str">
            <v>Gam</v>
          </cell>
          <cell r="E322">
            <v>8900</v>
          </cell>
          <cell r="F322">
            <v>8090.9090909090901</v>
          </cell>
        </row>
        <row r="323">
          <cell r="B323" t="str">
            <v>Sổ công tác</v>
          </cell>
          <cell r="C323" t="str">
            <v>cuốn</v>
          </cell>
          <cell r="E323">
            <v>10000</v>
          </cell>
          <cell r="F323">
            <v>9090.9090909090901</v>
          </cell>
        </row>
        <row r="324">
          <cell r="B324" t="str">
            <v>Sổ nhật ký hiện trường</v>
          </cell>
          <cell r="C324" t="str">
            <v>cuốn</v>
          </cell>
          <cell r="E324">
            <v>10000</v>
          </cell>
          <cell r="F324">
            <v>9090.9090909090901</v>
          </cell>
        </row>
        <row r="325">
          <cell r="B325" t="str">
            <v>Sulfaniamide</v>
          </cell>
          <cell r="C325" t="str">
            <v>gam</v>
          </cell>
          <cell r="E325">
            <v>24500</v>
          </cell>
          <cell r="F325">
            <v>22272.727272727272</v>
          </cell>
        </row>
        <row r="326">
          <cell r="B326" t="str">
            <v>Sulfo salisilic</v>
          </cell>
          <cell r="C326" t="str">
            <v>Gam</v>
          </cell>
          <cell r="E326">
            <v>22500</v>
          </cell>
          <cell r="F326">
            <v>20454.545454545452</v>
          </cell>
        </row>
        <row r="327">
          <cell r="B327" t="str">
            <v>Túi CO</v>
          </cell>
          <cell r="C327" t="str">
            <v>cái</v>
          </cell>
          <cell r="E327">
            <v>100000</v>
          </cell>
          <cell r="F327">
            <v>90909.090909090897</v>
          </cell>
        </row>
        <row r="328">
          <cell r="B328" t="str">
            <v>Túi nilon</v>
          </cell>
          <cell r="C328" t="str">
            <v>cái</v>
          </cell>
          <cell r="E328">
            <v>100</v>
          </cell>
          <cell r="F328">
            <v>90.909090909090907</v>
          </cell>
        </row>
        <row r="329">
          <cell r="B329" t="str">
            <v>Túi PE</v>
          </cell>
          <cell r="C329" t="str">
            <v>Cái</v>
          </cell>
          <cell r="E329">
            <v>500</v>
          </cell>
          <cell r="F329">
            <v>454.5454545454545</v>
          </cell>
        </row>
        <row r="330">
          <cell r="B330" t="str">
            <v>Bút ghi kính</v>
          </cell>
          <cell r="C330" t="str">
            <v>cái</v>
          </cell>
          <cell r="E330">
            <v>10000</v>
          </cell>
          <cell r="F330">
            <v>9090.9090909090901</v>
          </cell>
        </row>
        <row r="331">
          <cell r="B331" t="str">
            <v>Than hoạt tính</v>
          </cell>
          <cell r="C331" t="str">
            <v>gam</v>
          </cell>
          <cell r="E331">
            <v>5000</v>
          </cell>
          <cell r="F331">
            <v>4545.454545454545</v>
          </cell>
        </row>
        <row r="332">
          <cell r="B332" t="str">
            <v>Thùng đựng chai lấy mẫu</v>
          </cell>
          <cell r="C332" t="str">
            <v>thùng</v>
          </cell>
          <cell r="E332">
            <v>1000000</v>
          </cell>
          <cell r="F332">
            <v>909090.90909090906</v>
          </cell>
        </row>
        <row r="333">
          <cell r="B333" t="str">
            <v>Thùng đựng túi lấy mẫu</v>
          </cell>
          <cell r="C333" t="str">
            <v>thùng</v>
          </cell>
          <cell r="E333">
            <v>500000</v>
          </cell>
          <cell r="F333">
            <v>454545.45454545453</v>
          </cell>
        </row>
        <row r="334">
          <cell r="B334" t="str">
            <v>Thùng đựng và bảo quản mẫu</v>
          </cell>
          <cell r="C334" t="str">
            <v>cái</v>
          </cell>
          <cell r="E334">
            <v>120000</v>
          </cell>
          <cell r="F334">
            <v>109090.90909090909</v>
          </cell>
        </row>
        <row r="335">
          <cell r="B335" t="str">
            <v>Trietanolamin</v>
          </cell>
          <cell r="C335" t="str">
            <v>Gam</v>
          </cell>
          <cell r="E335">
            <v>3500</v>
          </cell>
          <cell r="F335">
            <v>3181.8181818181815</v>
          </cell>
        </row>
        <row r="336">
          <cell r="B336" t="str">
            <v>Trilon B</v>
          </cell>
          <cell r="C336" t="str">
            <v>gam</v>
          </cell>
          <cell r="E336">
            <v>1500</v>
          </cell>
          <cell r="F336">
            <v>1363.6363636363635</v>
          </cell>
        </row>
        <row r="337">
          <cell r="B337" t="str">
            <v>Vial</v>
          </cell>
          <cell r="C337" t="str">
            <v>Cái</v>
          </cell>
          <cell r="E337">
            <v>45000</v>
          </cell>
          <cell r="F337">
            <v>40909.090909090904</v>
          </cell>
        </row>
        <row r="338">
          <cell r="B338" t="str">
            <v>ZnSO4</v>
          </cell>
          <cell r="C338" t="str">
            <v>gam</v>
          </cell>
          <cell r="E338">
            <v>8500</v>
          </cell>
          <cell r="F338">
            <v>7727.272727272727</v>
          </cell>
        </row>
        <row r="339">
          <cell r="B339" t="str">
            <v>Zn(CH3COO)2</v>
          </cell>
          <cell r="C339" t="str">
            <v>gam</v>
          </cell>
          <cell r="E339">
            <v>3100</v>
          </cell>
          <cell r="F339">
            <v>2818.181818181818</v>
          </cell>
        </row>
        <row r="340">
          <cell r="B340" t="str">
            <v>α-Naphtylamin</v>
          </cell>
          <cell r="C340" t="str">
            <v>ml</v>
          </cell>
          <cell r="E340">
            <v>12500</v>
          </cell>
          <cell r="F340">
            <v>11363.636363636362</v>
          </cell>
        </row>
        <row r="341">
          <cell r="B341" t="str">
            <v>Khí chuẩn</v>
          </cell>
          <cell r="C341" t="str">
            <v>bình</v>
          </cell>
          <cell r="E341">
            <v>35000000</v>
          </cell>
          <cell r="F341">
            <v>31818181.818181816</v>
          </cell>
        </row>
        <row r="342">
          <cell r="B342" t="str">
            <v>Quartz Fiber Filters</v>
          </cell>
          <cell r="C342" t="str">
            <v>cái</v>
          </cell>
          <cell r="E342">
            <v>120000</v>
          </cell>
          <cell r="F342">
            <v>109090.90909090909</v>
          </cell>
        </row>
        <row r="343">
          <cell r="B343" t="str">
            <v xml:space="preserve">Hộp đựng mẫu </v>
          </cell>
          <cell r="C343" t="str">
            <v>Hộp</v>
          </cell>
          <cell r="E343">
            <v>500000</v>
          </cell>
          <cell r="F343">
            <v>454545.45454545453</v>
          </cell>
        </row>
        <row r="344">
          <cell r="B344" t="str">
            <v>Detectơ vết hạt nhân</v>
          </cell>
          <cell r="C344" t="str">
            <v>cái</v>
          </cell>
          <cell r="E344">
            <v>200000</v>
          </cell>
          <cell r="F344">
            <v>181818.18181818179</v>
          </cell>
        </row>
        <row r="345">
          <cell r="B345" t="str">
            <v>Phin lọc Ф47</v>
          </cell>
          <cell r="C345" t="str">
            <v>cái</v>
          </cell>
          <cell r="E345">
            <v>300000</v>
          </cell>
          <cell r="F345">
            <v>272727.27272727271</v>
          </cell>
        </row>
        <row r="346">
          <cell r="B346" t="str">
            <v>Phin lọc chuyên dụng FPP-15</v>
          </cell>
          <cell r="C346" t="str">
            <v xml:space="preserve">m2 </v>
          </cell>
          <cell r="E346">
            <v>80000</v>
          </cell>
          <cell r="F346">
            <v>72727.272727272721</v>
          </cell>
        </row>
        <row r="347">
          <cell r="B347" t="str">
            <v>Hộp đo</v>
          </cell>
          <cell r="C347" t="str">
            <v xml:space="preserve">cái </v>
          </cell>
          <cell r="E347">
            <v>30000</v>
          </cell>
          <cell r="F347">
            <v>27272.727272727272</v>
          </cell>
        </row>
        <row r="348">
          <cell r="B348" t="str">
            <v xml:space="preserve">Dung dịch lau dụng cụ </v>
          </cell>
          <cell r="C348" t="str">
            <v>Lít</v>
          </cell>
          <cell r="E348">
            <v>45000</v>
          </cell>
          <cell r="F348">
            <v>40909.090909090904</v>
          </cell>
        </row>
        <row r="349">
          <cell r="B349" t="str">
            <v>Khí chuẩn SO2</v>
          </cell>
          <cell r="C349" t="str">
            <v>bình</v>
          </cell>
          <cell r="E349">
            <v>25000000</v>
          </cell>
          <cell r="F349">
            <v>22727272.727272727</v>
          </cell>
        </row>
        <row r="350">
          <cell r="B350" t="str">
            <v>Khí chuẩn NOx</v>
          </cell>
          <cell r="C350" t="str">
            <v>bình</v>
          </cell>
          <cell r="E350">
            <v>35000000</v>
          </cell>
          <cell r="F350">
            <v>31818181.818181816</v>
          </cell>
        </row>
        <row r="351">
          <cell r="B351" t="str">
            <v>Khí chuẩn NO2</v>
          </cell>
          <cell r="C351" t="str">
            <v>bình</v>
          </cell>
          <cell r="E351">
            <v>35000000</v>
          </cell>
          <cell r="F351">
            <v>31818181.818181816</v>
          </cell>
        </row>
        <row r="352">
          <cell r="B352" t="str">
            <v>Khí chuẩn NO</v>
          </cell>
          <cell r="C352" t="str">
            <v>bình</v>
          </cell>
          <cell r="E352">
            <v>35000000</v>
          </cell>
          <cell r="F352">
            <v>31818181.818181816</v>
          </cell>
        </row>
        <row r="353">
          <cell r="B353" t="str">
            <v>Khí chuẩn CO2</v>
          </cell>
          <cell r="C353" t="str">
            <v>bình</v>
          </cell>
          <cell r="E353">
            <v>35000000</v>
          </cell>
          <cell r="F353">
            <v>31818181.818181816</v>
          </cell>
        </row>
        <row r="354">
          <cell r="B354" t="str">
            <v>Khí chuẩn CO</v>
          </cell>
          <cell r="C354" t="str">
            <v>bình</v>
          </cell>
          <cell r="E354">
            <v>35000000</v>
          </cell>
          <cell r="F354">
            <v>31818181.818181816</v>
          </cell>
        </row>
        <row r="355">
          <cell r="B355" t="str">
            <v>Khí chuẩn O2</v>
          </cell>
          <cell r="C355" t="str">
            <v>bình</v>
          </cell>
          <cell r="E355">
            <v>35000000</v>
          </cell>
          <cell r="F355">
            <v>31818181.818181816</v>
          </cell>
        </row>
        <row r="356">
          <cell r="B356" t="str">
            <v>Khí P10</v>
          </cell>
          <cell r="C356" t="str">
            <v>Bình</v>
          </cell>
          <cell r="E356">
            <v>1200000</v>
          </cell>
          <cell r="F356">
            <v>1090909.0909090908</v>
          </cell>
        </row>
        <row r="357">
          <cell r="B357" t="str">
            <v>Găng tay</v>
          </cell>
          <cell r="C357" t="str">
            <v>đôi</v>
          </cell>
          <cell r="E357">
            <v>5000</v>
          </cell>
          <cell r="F357">
            <v>4545.454545454545</v>
          </cell>
        </row>
        <row r="358">
          <cell r="B358" t="str">
            <v>Ammonium pyrrolidinedithiocarbamate (APDC)</v>
          </cell>
          <cell r="C358" t="str">
            <v>gam</v>
          </cell>
          <cell r="E358">
            <v>98000</v>
          </cell>
          <cell r="F358">
            <v>89090.909090909088</v>
          </cell>
        </row>
        <row r="359">
          <cell r="B359" t="str">
            <v>Metyl Iso butylketon (MIBK)</v>
          </cell>
          <cell r="C359" t="str">
            <v>gam</v>
          </cell>
          <cell r="E359">
            <v>110400</v>
          </cell>
          <cell r="F359">
            <v>100363.63636363635</v>
          </cell>
        </row>
        <row r="360">
          <cell r="B360" t="str">
            <v>Mẫu chuẩn hoạt độ 32Bq</v>
          </cell>
          <cell r="C360" t="str">
            <v>Bộ</v>
          </cell>
          <cell r="E360">
            <v>600000</v>
          </cell>
          <cell r="F360">
            <v>545454.54545454541</v>
          </cell>
        </row>
        <row r="361">
          <cell r="B361" t="str">
            <v>Mẫu chuẩn(100 - 500Bq)</v>
          </cell>
          <cell r="C361" t="str">
            <v>Bộ</v>
          </cell>
          <cell r="E361">
            <v>600000</v>
          </cell>
          <cell r="F361">
            <v>545454.54545454541</v>
          </cell>
        </row>
        <row r="362">
          <cell r="B362" t="str">
            <v>Mẫu chuẩn  hoạt độ (100 - 500Bq)</v>
          </cell>
          <cell r="C362" t="str">
            <v>Bộ</v>
          </cell>
          <cell r="E362">
            <v>600000</v>
          </cell>
          <cell r="F362">
            <v>545454.54545454541</v>
          </cell>
        </row>
        <row r="363">
          <cell r="B363" t="str">
            <v>Mẫu chuẩn hoạt độ (100 -1000)Bq</v>
          </cell>
          <cell r="C363" t="str">
            <v>Bộ</v>
          </cell>
          <cell r="E363">
            <v>600000</v>
          </cell>
          <cell r="F363">
            <v>545454.54545454541</v>
          </cell>
        </row>
        <row r="364">
          <cell r="B364" t="str">
            <v>Nguồn chuẩn Radon</v>
          </cell>
          <cell r="C364" t="str">
            <v>Bộ</v>
          </cell>
          <cell r="E364">
            <v>20000000</v>
          </cell>
          <cell r="F364">
            <v>18181818.18181818</v>
          </cell>
        </row>
        <row r="365">
          <cell r="B365" t="str">
            <v>Mẫu chuẩn  Pb210; Pb212; Pb214, Bi212; Bi214, Tl208, Ac228, Ra226, Cs137, K40, Be7  hoạt độ (100-500)Bq</v>
          </cell>
          <cell r="C365" t="str">
            <v>Bộ</v>
          </cell>
          <cell r="E365">
            <v>8000000</v>
          </cell>
          <cell r="F365">
            <v>7272727.2727272725</v>
          </cell>
        </row>
        <row r="366">
          <cell r="B366" t="str">
            <v>Mẫu chuẩn  Pb210; Pb212; Pb214, Bi212; Bi214, Tl208, Ac228, Ra226, Cs137, K40, Be7  hoạt độ (100-500)Bq</v>
          </cell>
          <cell r="C366" t="str">
            <v>ml</v>
          </cell>
          <cell r="E366">
            <v>100000</v>
          </cell>
          <cell r="F366">
            <v>90909.090909090897</v>
          </cell>
        </row>
        <row r="367">
          <cell r="B367" t="str">
            <v>Nguồn chuẩn đồng vị phóng xạ  90Sr hoạt độ (100 -500)Bq</v>
          </cell>
          <cell r="C367" t="str">
            <v>bộ</v>
          </cell>
          <cell r="E367">
            <v>5000000</v>
          </cell>
          <cell r="F367">
            <v>4545454.5454545449</v>
          </cell>
        </row>
        <row r="368">
          <cell r="B368" t="str">
            <v>Dung dịch chuẩn đồng vị phóng xạ  90Sr hoạt độ (100 -500)Bq</v>
          </cell>
          <cell r="C368" t="str">
            <v>ml</v>
          </cell>
          <cell r="E368">
            <v>5000000</v>
          </cell>
          <cell r="F368">
            <v>4545454.5454545449</v>
          </cell>
        </row>
        <row r="369">
          <cell r="B369" t="str">
            <v>Nguồn chuẩn đồng vị phóng xạ 239,240 Pu hoạt độ (100 -500)Bq</v>
          </cell>
          <cell r="C369" t="str">
            <v>bộ</v>
          </cell>
          <cell r="E369">
            <v>5000000</v>
          </cell>
          <cell r="F369">
            <v>4545454.5454545449</v>
          </cell>
        </row>
        <row r="370">
          <cell r="B370" t="str">
            <v>Dung dịch chuẩn đồng vị phóng xạ 239,240 Pu hoạt độ (100 -500)Bq</v>
          </cell>
          <cell r="C370" t="str">
            <v>ml</v>
          </cell>
          <cell r="E370">
            <v>5000000</v>
          </cell>
          <cell r="F370">
            <v>4545454.5454545449</v>
          </cell>
        </row>
        <row r="371">
          <cell r="B371" t="str">
            <v>Axít Asetic</v>
          </cell>
          <cell r="C371" t="str">
            <v>ml</v>
          </cell>
          <cell r="E371">
            <v>420</v>
          </cell>
          <cell r="F371">
            <v>381.81818181818181</v>
          </cell>
        </row>
        <row r="372">
          <cell r="B372" t="str">
            <v>NiCl2</v>
          </cell>
          <cell r="C372" t="str">
            <v>gam</v>
          </cell>
          <cell r="E372">
            <v>500</v>
          </cell>
          <cell r="F372">
            <v>454.5454545454545</v>
          </cell>
        </row>
        <row r="373">
          <cell r="B373" t="str">
            <v>Cs4Ba2</v>
          </cell>
          <cell r="C373" t="str">
            <v>gam</v>
          </cell>
          <cell r="E373">
            <v>400</v>
          </cell>
          <cell r="F373">
            <v>363.63636363636363</v>
          </cell>
        </row>
        <row r="374">
          <cell r="B374" t="str">
            <v>ZrOCl2.8.H2O</v>
          </cell>
          <cell r="C374" t="str">
            <v>gam</v>
          </cell>
          <cell r="E374">
            <v>45000</v>
          </cell>
          <cell r="F374">
            <v>40909.090909090904</v>
          </cell>
        </row>
        <row r="375">
          <cell r="B375" t="str">
            <v xml:space="preserve">1,5-Diphenylcacbazid (C13H14N4O) </v>
          </cell>
          <cell r="C375" t="str">
            <v>gam</v>
          </cell>
          <cell r="E375">
            <v>25000</v>
          </cell>
          <cell r="F375">
            <v>22727.272727272724</v>
          </cell>
        </row>
        <row r="376">
          <cell r="B376" t="str">
            <v>CH3COOC2H5</v>
          </cell>
          <cell r="C376" t="str">
            <v>ml</v>
          </cell>
          <cell r="E376">
            <v>3500</v>
          </cell>
          <cell r="F376">
            <v>3181.8181818181815</v>
          </cell>
        </row>
        <row r="377">
          <cell r="B377" t="str">
            <v>Na2S.9H2O</v>
          </cell>
          <cell r="C377" t="str">
            <v>gam</v>
          </cell>
          <cell r="E377">
            <v>4500</v>
          </cell>
          <cell r="F377">
            <v>4090.9090909090905</v>
          </cell>
        </row>
        <row r="378">
          <cell r="B378" t="str">
            <v>(NH4)2HPO4</v>
          </cell>
          <cell r="C378" t="str">
            <v>gam</v>
          </cell>
          <cell r="E378">
            <v>2500</v>
          </cell>
          <cell r="F378">
            <v>2272.7272727272725</v>
          </cell>
        </row>
        <row r="379">
          <cell r="B379" t="str">
            <v>N,N-dimethyl-p-phenylenediamine (C8H14Cl2N2.5 H2O)</v>
          </cell>
          <cell r="C379" t="str">
            <v>gam</v>
          </cell>
          <cell r="E379">
            <v>318000</v>
          </cell>
          <cell r="F379">
            <v>289090.90909090906</v>
          </cell>
        </row>
        <row r="380">
          <cell r="B380" t="str">
            <v>Thymol xanh</v>
          </cell>
          <cell r="C380" t="str">
            <v>gam</v>
          </cell>
          <cell r="E380">
            <v>34400</v>
          </cell>
          <cell r="F380">
            <v>31272.727272727268</v>
          </cell>
        </row>
        <row r="381">
          <cell r="B381" t="str">
            <v>Bromophenol xanh</v>
          </cell>
          <cell r="C381" t="str">
            <v>gam</v>
          </cell>
          <cell r="E381">
            <v>5000</v>
          </cell>
          <cell r="F381">
            <v>4545.454545454545</v>
          </cell>
        </row>
        <row r="382">
          <cell r="B382" t="str">
            <v>CdSO4.8H2O</v>
          </cell>
          <cell r="C382" t="str">
            <v>gam</v>
          </cell>
          <cell r="E382">
            <v>6000</v>
          </cell>
          <cell r="F382">
            <v>5454.545454545454</v>
          </cell>
        </row>
        <row r="383">
          <cell r="B383" t="str">
            <v>Dung dịch chuẩn đa nguyên tố (IC Standard)</v>
          </cell>
          <cell r="C383" t="str">
            <v>ml</v>
          </cell>
          <cell r="E383">
            <v>35000</v>
          </cell>
          <cell r="F383">
            <v>31818.181818181816</v>
          </cell>
        </row>
        <row r="384">
          <cell r="B384" t="str">
            <v>Na2WO4.2H2O</v>
          </cell>
          <cell r="C384" t="str">
            <v>gam</v>
          </cell>
          <cell r="E384">
            <v>12000</v>
          </cell>
          <cell r="F384">
            <v>10909.090909090908</v>
          </cell>
        </row>
        <row r="385">
          <cell r="B385" t="str">
            <v xml:space="preserve">Túi chứa khí </v>
          </cell>
          <cell r="C385" t="str">
            <v>cái</v>
          </cell>
          <cell r="E385">
            <v>500000</v>
          </cell>
          <cell r="F385">
            <v>454545.45454545453</v>
          </cell>
        </row>
        <row r="386">
          <cell r="B386" t="str">
            <v xml:space="preserve">Dung dịch hấp thụ </v>
          </cell>
          <cell r="C386" t="str">
            <v>ml</v>
          </cell>
          <cell r="E386">
            <v>4200</v>
          </cell>
          <cell r="F386">
            <v>3818.181818181818</v>
          </cell>
        </row>
        <row r="387">
          <cell r="B387" t="str">
            <v>p-Dimetylamin benzadehyt</v>
          </cell>
          <cell r="E387">
            <v>6960</v>
          </cell>
          <cell r="F387">
            <v>6327.272727272727</v>
          </cell>
        </row>
        <row r="388">
          <cell r="B388" t="str">
            <v xml:space="preserve">Tetrametyl-p-phenylendiamin dihyroclorua </v>
          </cell>
          <cell r="E388">
            <v>197000</v>
          </cell>
          <cell r="F388">
            <v>179090.90909090909</v>
          </cell>
        </row>
        <row r="389">
          <cell r="B389" t="str">
            <v>C4H9OH</v>
          </cell>
          <cell r="E389">
            <v>780</v>
          </cell>
          <cell r="F389">
            <v>709.09090909090901</v>
          </cell>
        </row>
        <row r="390">
          <cell r="B390" t="str">
            <v>Pepton</v>
          </cell>
          <cell r="E390">
            <v>728</v>
          </cell>
          <cell r="F390">
            <v>661.81818181818176</v>
          </cell>
        </row>
        <row r="391">
          <cell r="B391" t="str">
            <v>Lactoza</v>
          </cell>
          <cell r="E391">
            <v>776</v>
          </cell>
          <cell r="F391">
            <v>705.45454545454538</v>
          </cell>
        </row>
        <row r="392">
          <cell r="B392" t="str">
            <v>Chất chiết nấm men</v>
          </cell>
          <cell r="E392">
            <v>330</v>
          </cell>
          <cell r="F392">
            <v>300</v>
          </cell>
        </row>
        <row r="393">
          <cell r="B393" t="str">
            <v xml:space="preserve">2,3,5-Triphenyltetrazoliun chlorua </v>
          </cell>
          <cell r="E393">
            <v>12000</v>
          </cell>
          <cell r="F393">
            <v>10909.090909090908</v>
          </cell>
        </row>
        <row r="394">
          <cell r="B394" t="str">
            <v>natri heptadecylsunphat</v>
          </cell>
          <cell r="E394">
            <v>10000</v>
          </cell>
          <cell r="F394">
            <v>9090.9090909090901</v>
          </cell>
        </row>
        <row r="395">
          <cell r="B395" t="str">
            <v>Agar</v>
          </cell>
          <cell r="E395">
            <v>3834</v>
          </cell>
          <cell r="F395">
            <v>3485.454545454545</v>
          </cell>
        </row>
        <row r="396">
          <cell r="B396" t="str">
            <v>Quartz torches</v>
          </cell>
          <cell r="E396">
            <v>12000000</v>
          </cell>
          <cell r="F396">
            <v>10909090.909090908</v>
          </cell>
        </row>
        <row r="397">
          <cell r="B397" t="str">
            <v>Glycerol</v>
          </cell>
          <cell r="E397">
            <v>5000</v>
          </cell>
          <cell r="F397">
            <v>4545.454545454545</v>
          </cell>
        </row>
        <row r="398">
          <cell r="B398" t="str">
            <v>Hồ tinh bột</v>
          </cell>
          <cell r="E398">
            <v>2240</v>
          </cell>
          <cell r="F398">
            <v>2036.3636363636363</v>
          </cell>
        </row>
        <row r="399">
          <cell r="B399" t="str">
            <v>Dung dịch chuẩn Al3+</v>
          </cell>
          <cell r="E399">
            <v>2400</v>
          </cell>
          <cell r="F399">
            <v>2181.8181818181815</v>
          </cell>
        </row>
        <row r="400">
          <cell r="B400" t="str">
            <v>Bộ màng bơm, van, gioăng đệm</v>
          </cell>
          <cell r="C400" t="str">
            <v>bộ</v>
          </cell>
          <cell r="E400">
            <v>6350000</v>
          </cell>
          <cell r="F400">
            <v>5772727.2727272725</v>
          </cell>
        </row>
        <row r="401">
          <cell r="B401" t="str">
            <v>Màng lọc bụi</v>
          </cell>
          <cell r="C401" t="str">
            <v>cái</v>
          </cell>
          <cell r="E401">
            <v>5623000</v>
          </cell>
          <cell r="F401">
            <v>5111818.1818181816</v>
          </cell>
        </row>
        <row r="402">
          <cell r="B402" t="str">
            <v>Xà phòng</v>
          </cell>
          <cell r="C402" t="str">
            <v>kg</v>
          </cell>
          <cell r="E402">
            <v>12000</v>
          </cell>
          <cell r="F402">
            <v>10909.090909090908</v>
          </cell>
        </row>
        <row r="403">
          <cell r="B403" t="str">
            <v>Băng lọc bụi</v>
          </cell>
          <cell r="C403" t="str">
            <v>cuộn</v>
          </cell>
          <cell r="E403">
            <v>1500000</v>
          </cell>
          <cell r="F403">
            <v>1363636.3636363635</v>
          </cell>
        </row>
        <row r="404">
          <cell r="B404" t="str">
            <v>BQ-Filter</v>
          </cell>
          <cell r="E404">
            <v>13432000</v>
          </cell>
          <cell r="F404">
            <v>12210909.09090909</v>
          </cell>
        </row>
        <row r="405">
          <cell r="B405" t="str">
            <v>CQ-Filter</v>
          </cell>
          <cell r="E405">
            <v>13432000</v>
          </cell>
          <cell r="F405">
            <v>12210909.09090909</v>
          </cell>
        </row>
        <row r="406">
          <cell r="B406" t="str">
            <v>Bơm mẫu</v>
          </cell>
          <cell r="E406">
            <v>94943000</v>
          </cell>
          <cell r="F406">
            <v>86311818.181818172</v>
          </cell>
        </row>
        <row r="407">
          <cell r="B407" t="str">
            <v>Bơm khô</v>
          </cell>
          <cell r="E407">
            <v>97125000</v>
          </cell>
          <cell r="F407">
            <v>88295454.545454532</v>
          </cell>
        </row>
        <row r="408">
          <cell r="B408" t="str">
            <v>Ống nối silicon giữa các bộ phận trong modul</v>
          </cell>
          <cell r="E408">
            <v>2000000</v>
          </cell>
          <cell r="F408">
            <v>1818181.8181818181</v>
          </cell>
        </row>
        <row r="409">
          <cell r="B409" t="str">
            <v>1 m Silicon-Tube white 3,2x6,4 mm</v>
          </cell>
          <cell r="E409">
            <v>999000</v>
          </cell>
          <cell r="F409">
            <v>908181.81818181812</v>
          </cell>
        </row>
        <row r="410">
          <cell r="B410" t="str">
            <v>1 m Silicon-Tube blue 3,2x6,4 mm</v>
          </cell>
          <cell r="E410">
            <v>999000</v>
          </cell>
          <cell r="F410">
            <v>908181.81818181812</v>
          </cell>
        </row>
        <row r="411">
          <cell r="B411" t="str">
            <v>1 m Silicon-Tube green 3,2x6,4 mm</v>
          </cell>
          <cell r="E411">
            <v>999000</v>
          </cell>
          <cell r="F411">
            <v>908181.81818181812</v>
          </cell>
        </row>
        <row r="412">
          <cell r="B412" t="str">
            <v>1 m Silicon-Tube red 3,2x6,4 mm</v>
          </cell>
          <cell r="E412">
            <v>999000</v>
          </cell>
          <cell r="F412">
            <v>908181.81818181812</v>
          </cell>
        </row>
        <row r="413">
          <cell r="B413" t="str">
            <v>Dung dịch làm sạch đường ống</v>
          </cell>
          <cell r="E413">
            <v>3900</v>
          </cell>
          <cell r="F413">
            <v>3545.454545454545</v>
          </cell>
        </row>
        <row r="414">
          <cell r="B414" t="str">
            <v>Bộ lọc mẫu (Filter element) (24 chiếc)</v>
          </cell>
          <cell r="E414">
            <v>5623000</v>
          </cell>
          <cell r="F414">
            <v>5111818.1818181816</v>
          </cell>
        </row>
        <row r="415">
          <cell r="B415" t="str">
            <v>Gioăng (O-Ring)</v>
          </cell>
          <cell r="E415">
            <v>583000</v>
          </cell>
          <cell r="F415">
            <v>530000</v>
          </cell>
        </row>
        <row r="416">
          <cell r="B416" t="str">
            <v>F-packing</v>
          </cell>
          <cell r="E416">
            <v>583000</v>
          </cell>
          <cell r="F416">
            <v>530000</v>
          </cell>
        </row>
        <row r="417">
          <cell r="B417" t="str">
            <v>Bộ màng ngăn (Diaphragm assembly)</v>
          </cell>
          <cell r="E417">
            <v>4690000</v>
          </cell>
          <cell r="F417">
            <v>4263636.3636363633</v>
          </cell>
        </row>
        <row r="418">
          <cell r="B418" t="str">
            <v>Bộ khử ozôn (DO Unit)</v>
          </cell>
          <cell r="E418">
            <v>12275000</v>
          </cell>
          <cell r="F418">
            <v>11159090.909090908</v>
          </cell>
        </row>
        <row r="419">
          <cell r="B419" t="str">
            <v>Đèn tử ngoại (UV Lamp Unit)</v>
          </cell>
          <cell r="E419">
            <v>29472000</v>
          </cell>
          <cell r="F419">
            <v>26792727.27272727</v>
          </cell>
        </row>
        <row r="420">
          <cell r="B420" t="str">
            <v>Lớp lót UV (UV Liner)</v>
          </cell>
          <cell r="E420">
            <v>7878000</v>
          </cell>
          <cell r="F420">
            <v>7161818.1818181816</v>
          </cell>
        </row>
        <row r="421">
          <cell r="B421" t="str">
            <v>Bộ làm khô thẩm thấu (Capllary PPD)</v>
          </cell>
          <cell r="E421">
            <v>39548000</v>
          </cell>
          <cell r="F421">
            <v>35952727.272727273</v>
          </cell>
        </row>
        <row r="422">
          <cell r="B422" t="str">
            <v>Ống chuyển đổi (Catalyzer Pipe)</v>
          </cell>
          <cell r="E422">
            <v>13098000</v>
          </cell>
          <cell r="F422">
            <v>11907272.727272727</v>
          </cell>
        </row>
        <row r="423">
          <cell r="B423" t="str">
            <v>Bộ lọc khí (Air filter)</v>
          </cell>
          <cell r="E423">
            <v>3531000</v>
          </cell>
          <cell r="F423">
            <v>3209999.9999999995</v>
          </cell>
        </row>
        <row r="424">
          <cell r="B424" t="str">
            <v>Scrubber</v>
          </cell>
          <cell r="E424">
            <v>13906000</v>
          </cell>
          <cell r="F424">
            <v>12641818.181818182</v>
          </cell>
        </row>
        <row r="425">
          <cell r="B425" t="str">
            <v xml:space="preserve">Bơm (230V) (Pump Unit)    </v>
          </cell>
          <cell r="E425">
            <v>51121000</v>
          </cell>
          <cell r="F425">
            <v>46473636.36363636</v>
          </cell>
        </row>
        <row r="426">
          <cell r="B426" t="str">
            <v xml:space="preserve">SV unit                               </v>
          </cell>
          <cell r="E426">
            <v>17997000</v>
          </cell>
          <cell r="F426">
            <v>16360909.09090909</v>
          </cell>
        </row>
        <row r="427">
          <cell r="B427" t="str">
            <v xml:space="preserve">LCD unit                   </v>
          </cell>
          <cell r="E427">
            <v>42068000</v>
          </cell>
          <cell r="F427">
            <v>38243636.36363636</v>
          </cell>
        </row>
        <row r="428">
          <cell r="B428" t="str">
            <v>Scrubber MIX cho APNA 370 (0,5kg)</v>
          </cell>
          <cell r="E428">
            <v>9210000</v>
          </cell>
          <cell r="F428">
            <v>8372727.2727272725</v>
          </cell>
        </row>
        <row r="429">
          <cell r="B429" t="str">
            <v>Thùng đựng và bảo quản silicagel, Scrubber MIX</v>
          </cell>
          <cell r="E429">
            <v>10000000</v>
          </cell>
          <cell r="F429">
            <v>9090909.0909090899</v>
          </cell>
        </row>
        <row r="430">
          <cell r="B430" t="str">
            <v>Gioăng (Special O-Ring)</v>
          </cell>
          <cell r="E430">
            <v>1898000</v>
          </cell>
          <cell r="F430">
            <v>1725454.5454545454</v>
          </cell>
        </row>
        <row r="431">
          <cell r="B431" t="str">
            <v>Đèn Xenon (Xenon Lamp)</v>
          </cell>
          <cell r="E431">
            <v>53057000</v>
          </cell>
          <cell r="F431">
            <v>48233636.36363636</v>
          </cell>
        </row>
        <row r="432">
          <cell r="B432" t="str">
            <v>Bộ loại hydrocacbon (HC cutter)</v>
          </cell>
          <cell r="E432">
            <v>26591000</v>
          </cell>
          <cell r="F432">
            <v>24173636.363636363</v>
          </cell>
        </row>
        <row r="433">
          <cell r="B433" t="str">
            <v xml:space="preserve">Bơm (Pump Unit) (230V)    </v>
          </cell>
          <cell r="E433">
            <v>51121000</v>
          </cell>
          <cell r="F433">
            <v>46473636.36363636</v>
          </cell>
        </row>
        <row r="434">
          <cell r="B434" t="str">
            <v>Than hoạt tính cho modul phân tích SO2 (1kg/box)</v>
          </cell>
          <cell r="C434" t="str">
            <v>hộp</v>
          </cell>
          <cell r="E434">
            <v>4500000</v>
          </cell>
          <cell r="F434">
            <v>4090909.0909090904</v>
          </cell>
        </row>
        <row r="435">
          <cell r="B435" t="str">
            <v>Thùng đựng và bảo quản than hoạt tính</v>
          </cell>
          <cell r="E435">
            <v>10000000</v>
          </cell>
          <cell r="F435">
            <v>9090909.0909090899</v>
          </cell>
        </row>
        <row r="436">
          <cell r="B436" t="str">
            <v>Ống xúc tác (catalyzer tube)</v>
          </cell>
          <cell r="E436">
            <v>25051000</v>
          </cell>
          <cell r="F436">
            <v>22773636.363636363</v>
          </cell>
        </row>
        <row r="437">
          <cell r="B437" t="str">
            <v>Bộ lọc (Filter)</v>
          </cell>
          <cell r="E437">
            <v>5865000</v>
          </cell>
          <cell r="F437">
            <v>5331818.1818181816</v>
          </cell>
        </row>
        <row r="438">
          <cell r="B438" t="str">
            <v>Catalyst kit</v>
          </cell>
          <cell r="C438" t="str">
            <v>bộ</v>
          </cell>
          <cell r="E438">
            <v>3990000</v>
          </cell>
          <cell r="F438">
            <v>3627272.7272727271</v>
          </cell>
        </row>
        <row r="439">
          <cell r="B439" t="str">
            <v>Catalyzer pack</v>
          </cell>
          <cell r="C439" t="str">
            <v>bộ</v>
          </cell>
          <cell r="E439">
            <v>3080000</v>
          </cell>
          <cell r="F439">
            <v>2800000</v>
          </cell>
        </row>
        <row r="440">
          <cell r="B440" t="str">
            <v>O-ring 1.5 x 0.75 mm Nitril</v>
          </cell>
          <cell r="C440" t="str">
            <v>chiếc</v>
          </cell>
          <cell r="E440">
            <v>137000</v>
          </cell>
          <cell r="F440">
            <v>124545.45454545453</v>
          </cell>
        </row>
        <row r="441">
          <cell r="B441" t="str">
            <v>Lọc Coalescent (xanh)</v>
          </cell>
          <cell r="C441" t="str">
            <v>bộ</v>
          </cell>
          <cell r="E441">
            <v>2469000</v>
          </cell>
          <cell r="F441">
            <v>2244545.4545454546</v>
          </cell>
        </row>
        <row r="442">
          <cell r="B442" t="str">
            <v>Rotor 6 cổng</v>
          </cell>
          <cell r="C442" t="str">
            <v>bộ</v>
          </cell>
          <cell r="E442">
            <v>20640000</v>
          </cell>
          <cell r="F442">
            <v>18763636.363636363</v>
          </cell>
        </row>
        <row r="443">
          <cell r="B443" t="str">
            <v>O-Ring Gasket 4x1</v>
          </cell>
          <cell r="C443" t="str">
            <v>bộ</v>
          </cell>
          <cell r="E443">
            <v>343000</v>
          </cell>
          <cell r="F443">
            <v>311818.18181818177</v>
          </cell>
        </row>
        <row r="444">
          <cell r="B444" t="str">
            <v>O-Ring Gasket 6x1</v>
          </cell>
          <cell r="C444" t="str">
            <v>bộ</v>
          </cell>
          <cell r="E444">
            <v>343000</v>
          </cell>
          <cell r="F444">
            <v>311818.18181818177</v>
          </cell>
        </row>
        <row r="445">
          <cell r="B445" t="str">
            <v>Ống thẩm thấu Benzene</v>
          </cell>
          <cell r="C445" t="str">
            <v>chiếc</v>
          </cell>
          <cell r="E445">
            <v>40522000</v>
          </cell>
          <cell r="F445">
            <v>36838181.818181813</v>
          </cell>
        </row>
        <row r="446">
          <cell r="B446" t="str">
            <v>O-Ring cho lò thẩm thấu</v>
          </cell>
          <cell r="C446" t="str">
            <v>chiếc</v>
          </cell>
          <cell r="E446">
            <v>206000</v>
          </cell>
          <cell r="F446">
            <v>187272.72727272726</v>
          </cell>
        </row>
        <row r="447">
          <cell r="B447" t="str">
            <v>Đèn PID 10.6 eV</v>
          </cell>
          <cell r="C447" t="str">
            <v>chiêc</v>
          </cell>
          <cell r="E447">
            <v>55572000</v>
          </cell>
          <cell r="F447">
            <v>50519999.999999993</v>
          </cell>
        </row>
        <row r="448">
          <cell r="B448" t="str">
            <v>Bộ van và màng airmo PUMP</v>
          </cell>
          <cell r="C448" t="str">
            <v>bộ</v>
          </cell>
          <cell r="E448">
            <v>5500000</v>
          </cell>
          <cell r="F448">
            <v>5000000</v>
          </cell>
        </row>
        <row r="449">
          <cell r="B449" t="str">
            <v>Nylon 1/8 silencer</v>
          </cell>
          <cell r="C449" t="str">
            <v>bộ</v>
          </cell>
          <cell r="F449">
            <v>0</v>
          </cell>
        </row>
        <row r="450">
          <cell r="B450" t="str">
            <v>Dầu chạy máy phát điện</v>
          </cell>
          <cell r="C450" t="str">
            <v>lit</v>
          </cell>
          <cell r="E450">
            <v>150000</v>
          </cell>
          <cell r="F450">
            <v>136363.63636363635</v>
          </cell>
        </row>
        <row r="451">
          <cell r="B451" t="str">
            <v>Thiết bị lấy mẫu bui (ống probe)</v>
          </cell>
          <cell r="E451">
            <v>150000000</v>
          </cell>
          <cell r="F451">
            <v>136363636.36363634</v>
          </cell>
        </row>
        <row r="452">
          <cell r="B452" t="str">
            <v>C5H8NO4Na</v>
          </cell>
          <cell r="C452" t="str">
            <v>gam</v>
          </cell>
          <cell r="E452">
            <v>2400</v>
          </cell>
          <cell r="F452">
            <v>2181.8181818181815</v>
          </cell>
        </row>
        <row r="453">
          <cell r="B453" t="str">
            <v>Chất chiết cao thịt bò</v>
          </cell>
          <cell r="C453" t="str">
            <v>ml</v>
          </cell>
          <cell r="E453">
            <v>10000</v>
          </cell>
          <cell r="F453">
            <v>9090.9090909090901</v>
          </cell>
        </row>
        <row r="454">
          <cell r="B454" t="str">
            <v xml:space="preserve"> Aspartic </v>
          </cell>
          <cell r="C454" t="str">
            <v>gam</v>
          </cell>
          <cell r="E454">
            <v>9000</v>
          </cell>
          <cell r="F454">
            <v>8181.8181818181811</v>
          </cell>
        </row>
        <row r="455">
          <cell r="B455" t="str">
            <v>Pantotenic</v>
          </cell>
          <cell r="C455" t="str">
            <v>gam</v>
          </cell>
          <cell r="E455">
            <v>3000</v>
          </cell>
          <cell r="F455">
            <v>2727.272727272727</v>
          </cell>
        </row>
        <row r="456">
          <cell r="B456" t="str">
            <v>Thiamin</v>
          </cell>
          <cell r="C456" t="str">
            <v>gam</v>
          </cell>
          <cell r="E456">
            <v>1500</v>
          </cell>
          <cell r="F456">
            <v>1363.6363636363635</v>
          </cell>
        </row>
        <row r="457">
          <cell r="B457" t="str">
            <v>Ferric citrate</v>
          </cell>
          <cell r="C457" t="str">
            <v>gam</v>
          </cell>
          <cell r="E457">
            <v>2400</v>
          </cell>
          <cell r="F457">
            <v>2181.8181818181815</v>
          </cell>
        </row>
        <row r="458">
          <cell r="B458" t="str">
            <v>Ni (NO3)2.H2O</v>
          </cell>
          <cell r="C458" t="str">
            <v>gam</v>
          </cell>
          <cell r="E458">
            <v>3500</v>
          </cell>
          <cell r="F458">
            <v>3181.8181818181815</v>
          </cell>
        </row>
        <row r="459">
          <cell r="B459" t="str">
            <v>diatomit</v>
          </cell>
          <cell r="C459" t="str">
            <v>gam</v>
          </cell>
          <cell r="E459">
            <v>1600</v>
          </cell>
          <cell r="F459">
            <v>1454.5454545454545</v>
          </cell>
        </row>
        <row r="460">
          <cell r="B460" t="str">
            <v>Na2C2O4</v>
          </cell>
          <cell r="C460" t="str">
            <v>gam</v>
          </cell>
          <cell r="E460">
            <v>3400</v>
          </cell>
          <cell r="F460">
            <v>3090.9090909090905</v>
          </cell>
        </row>
        <row r="461">
          <cell r="B461" t="str">
            <v>Ống chuẩn KMnO4</v>
          </cell>
          <cell r="C461" t="str">
            <v>Ống</v>
          </cell>
          <cell r="E461">
            <v>4500000</v>
          </cell>
          <cell r="F461">
            <v>4090909.0909090904</v>
          </cell>
        </row>
        <row r="462">
          <cell r="B462" t="str">
            <v>Millex-LH 13mm Philic PTFE .45µm Non-sterile IC-Certified 100/pk</v>
          </cell>
          <cell r="C462" t="str">
            <v>hộp</v>
          </cell>
          <cell r="E462">
            <v>6200000</v>
          </cell>
          <cell r="F462">
            <v>5636363.6363636358</v>
          </cell>
        </row>
        <row r="463">
          <cell r="B463" t="str">
            <v>Chất hút ẩm chỉ thị chuyên dụng</v>
          </cell>
          <cell r="C463" t="str">
            <v>gam</v>
          </cell>
          <cell r="E463">
            <v>2200</v>
          </cell>
          <cell r="F463">
            <v>1999.9999999999998</v>
          </cell>
        </row>
        <row r="464">
          <cell r="B464" t="str">
            <v>Dung dịch chất đồng hành</v>
          </cell>
          <cell r="C464" t="str">
            <v>uL</v>
          </cell>
          <cell r="E464">
            <v>34000</v>
          </cell>
          <cell r="F464">
            <v>30909.090909090908</v>
          </cell>
        </row>
        <row r="465">
          <cell r="B465" t="str">
            <v>n-Hexane (PA)</v>
          </cell>
          <cell r="C465" t="str">
            <v>ml</v>
          </cell>
          <cell r="E465">
            <v>300</v>
          </cell>
          <cell r="F465">
            <v>272.72727272727269</v>
          </cell>
        </row>
        <row r="466">
          <cell r="B466" t="str">
            <v>Toluen (HPLC)</v>
          </cell>
          <cell r="C466" t="str">
            <v>ml</v>
          </cell>
          <cell r="E466">
            <v>2000</v>
          </cell>
          <cell r="F466">
            <v>1818.181818181818</v>
          </cell>
        </row>
        <row r="467">
          <cell r="B467" t="str">
            <v>Aceton (HPLC)</v>
          </cell>
          <cell r="C467" t="str">
            <v>ml</v>
          </cell>
          <cell r="E467">
            <v>1400</v>
          </cell>
          <cell r="F467">
            <v>1272.7272727272725</v>
          </cell>
        </row>
        <row r="468">
          <cell r="B468" t="str">
            <v>Vật liệu hấp phụ cho lấy mẫu khí thải XAD-2</v>
          </cell>
          <cell r="C468" t="str">
            <v>Gam</v>
          </cell>
          <cell r="E468">
            <v>15000</v>
          </cell>
          <cell r="F468">
            <v>13636.363636363636</v>
          </cell>
        </row>
        <row r="469">
          <cell r="B469" t="str">
            <v>Diclometan, HPLC</v>
          </cell>
          <cell r="C469" t="str">
            <v>ml</v>
          </cell>
          <cell r="E469">
            <v>2000</v>
          </cell>
          <cell r="F469">
            <v>1818.181818181818</v>
          </cell>
        </row>
        <row r="470">
          <cell r="B470" t="str">
            <v>Găng tay không bột</v>
          </cell>
          <cell r="C470" t="str">
            <v>Đôi</v>
          </cell>
          <cell r="E470">
            <v>8000</v>
          </cell>
          <cell r="F470">
            <v>7272.7272727272721</v>
          </cell>
        </row>
        <row r="471">
          <cell r="B471" t="str">
            <v>Khẩu trang than hoạt tính</v>
          </cell>
          <cell r="C471" t="str">
            <v>Chiếc</v>
          </cell>
          <cell r="E471">
            <v>15000</v>
          </cell>
          <cell r="F471">
            <v>13636.363636363636</v>
          </cell>
        </row>
        <row r="472">
          <cell r="B472" t="str">
            <v>Đá khô bảo quản mẫu</v>
          </cell>
          <cell r="C472" t="str">
            <v>Kg</v>
          </cell>
          <cell r="E472">
            <v>100000</v>
          </cell>
          <cell r="F472">
            <v>90909.090909090897</v>
          </cell>
        </row>
        <row r="473">
          <cell r="B473" t="str">
            <v>Đá lạnh làm ngưng</v>
          </cell>
          <cell r="C473" t="str">
            <v>Kg</v>
          </cell>
          <cell r="E473">
            <v>20000</v>
          </cell>
          <cell r="F473">
            <v>18181.81818181818</v>
          </cell>
        </row>
        <row r="474">
          <cell r="B474" t="str">
            <v>Lọ thủy tinh đựng mẫu</v>
          </cell>
          <cell r="C474" t="str">
            <v>Chiếc</v>
          </cell>
          <cell r="E474">
            <v>250000</v>
          </cell>
          <cell r="F474">
            <v>227272.72727272726</v>
          </cell>
        </row>
        <row r="475">
          <cell r="B475" t="str">
            <v>Đĩa petri thủy tinh (đựng giấy lọc)</v>
          </cell>
          <cell r="C475" t="str">
            <v>Chiếc</v>
          </cell>
          <cell r="E475">
            <v>100000</v>
          </cell>
          <cell r="F475">
            <v>90909.090909090897</v>
          </cell>
        </row>
        <row r="476">
          <cell r="B476" t="str">
            <v>Ống đựng mẫu chiết Soxhlet bằng xenlulo</v>
          </cell>
          <cell r="C476" t="str">
            <v>Chiếc</v>
          </cell>
          <cell r="E476">
            <v>240000</v>
          </cell>
          <cell r="F476">
            <v>218181.81818181818</v>
          </cell>
        </row>
        <row r="477">
          <cell r="B477" t="str">
            <v>Cột silicagel đa lớp</v>
          </cell>
          <cell r="C477" t="str">
            <v>Chiếc</v>
          </cell>
          <cell r="E477">
            <v>1800000</v>
          </cell>
          <cell r="F477">
            <v>1636363.6363636362</v>
          </cell>
        </row>
        <row r="478">
          <cell r="B478" t="str">
            <v>Cột nhôm ôxit</v>
          </cell>
          <cell r="C478" t="str">
            <v>Chiếc</v>
          </cell>
          <cell r="E478">
            <v>1400000</v>
          </cell>
          <cell r="F478">
            <v>1272727.2727272727</v>
          </cell>
        </row>
        <row r="479">
          <cell r="B479" t="str">
            <v xml:space="preserve">Cột than hoạt tính đảo chiều </v>
          </cell>
          <cell r="C479" t="str">
            <v>Chiếc</v>
          </cell>
          <cell r="E479">
            <v>1000000</v>
          </cell>
          <cell r="F479">
            <v>909090.90909090906</v>
          </cell>
        </row>
        <row r="480">
          <cell r="B480" t="str">
            <v>Dung dịch chuẩn hàng ngày xác định thời gian lưu và đồng phân đặc thù dioxin/furan (M1613 DAILY CALIBRATION + WINDOW DEFINER &amp; ISOMER SPECIFICITY)</v>
          </cell>
          <cell r="C480" t="str">
            <v>uL</v>
          </cell>
          <cell r="E480">
            <v>218000</v>
          </cell>
          <cell r="F480">
            <v>198181.81818181818</v>
          </cell>
        </row>
        <row r="481">
          <cell r="B481" t="str">
            <v>Bộ dung dịch dựng đường chuẩn năm điểm phân tích dioxin/furan CS1 - CS5 (M 1613 CALIBRATION SOLUTION CS1-CS5)</v>
          </cell>
          <cell r="C481" t="str">
            <v>bộ/  5 lọ</v>
          </cell>
          <cell r="E481">
            <v>117416000</v>
          </cell>
          <cell r="F481">
            <v>106741818.18181817</v>
          </cell>
        </row>
        <row r="482">
          <cell r="B482" t="str">
            <v>Dung dịch chuẩn để kiểm tra đường chuẩn hàng ngày phân tích dioxin/furan CS3 (M 1613 DAILY CALIBRATION CHECK STANDARD CS3)</v>
          </cell>
          <cell r="C482" t="str">
            <v>uL</v>
          </cell>
          <cell r="E482">
            <v>106200</v>
          </cell>
          <cell r="F482">
            <v>96545.454545454544</v>
          </cell>
        </row>
        <row r="483">
          <cell r="B483" t="str">
            <v>Dung dịch chuẩn đánh dấu gồm 15 chất chuẩn đồng vị 13C dioxin/furan (M 1613 LABELED COMPOUND STOCK SOLUTION)</v>
          </cell>
          <cell r="C483" t="str">
            <v>uL</v>
          </cell>
          <cell r="E483">
            <v>67000</v>
          </cell>
          <cell r="F483">
            <v>60909.090909090904</v>
          </cell>
        </row>
        <row r="484">
          <cell r="B484" t="str">
            <v>Dung dịch chuẩn làm sạch gồm 1 chất chuẩn đồng vị 37Cl4 dioxin (M 1613 CLEAN UP STANDARD 10X STOCK SOLUTION (37CL4, 96%))</v>
          </cell>
          <cell r="C484" t="str">
            <v>ml</v>
          </cell>
          <cell r="E484">
            <v>548000</v>
          </cell>
          <cell r="F484">
            <v>498181.81818181812</v>
          </cell>
        </row>
        <row r="485">
          <cell r="B485" t="str">
            <v>Dung dịch nội chuẩn gồm 2 chất chuẩn đồng vị 13C dioxin/furan (M 1613 INTERNAL STANDARD SPIKING SOLUTION (13C12, 99%))</v>
          </cell>
          <cell r="C485" t="str">
            <v>uL</v>
          </cell>
          <cell r="E485">
            <v>22400</v>
          </cell>
          <cell r="F485">
            <v>20363.63636363636</v>
          </cell>
        </row>
        <row r="486">
          <cell r="B486" t="str">
            <v>Dung dịch chuẩn kiểm tra độ thu hồi và độ chính xác phân tích dioxin/furan (M 1613 PRECISION AND RECOVERY STANDARD SOLUTION)</v>
          </cell>
          <cell r="C486" t="str">
            <v>uL</v>
          </cell>
          <cell r="E486">
            <v>100600</v>
          </cell>
          <cell r="F486">
            <v>91454.545454545441</v>
          </cell>
        </row>
        <row r="487">
          <cell r="B487" t="str">
            <v>Dung dịch chuẩn đồng hành đậm đặc sử dụng cho lấy mẫu khí thải phân tích dioxin/furan (13C12, 99%; 37CL4, 96%)
(M23 SURROGATE STANDARD STOCK SOLUTION (13C12, 99%; 37CL4, 96%)</v>
          </cell>
          <cell r="C487" t="str">
            <v>uL</v>
          </cell>
          <cell r="E487">
            <v>31200</v>
          </cell>
          <cell r="F487">
            <v>28363.63636363636</v>
          </cell>
        </row>
        <row r="488">
          <cell r="B488" t="str">
            <v>Bộ dung dịch dựng đường chuẩn năm điểm phân tích dioxin/furan trong mẫu khí thải (CS1 - CS5)
(M23 CALIBRATION SOLUTIONS (CS1 - CS5)</v>
          </cell>
          <cell r="C488" t="str">
            <v>Bộ/5 lọ</v>
          </cell>
          <cell r="E488">
            <v>82795200</v>
          </cell>
          <cell r="F488">
            <v>75268363.636363626</v>
          </cell>
        </row>
        <row r="489">
          <cell r="B489" t="str">
            <v>Dung dịch dựng đường chuẩn hàng ngày phân tích dioxin/furan mẫu khí thải (CS4)
(M 23 CALIBRATION STANDARD (CS4))</v>
          </cell>
          <cell r="C489" t="str">
            <v>uL</v>
          </cell>
          <cell r="E489">
            <v>113200</v>
          </cell>
          <cell r="F489">
            <v>102909.0909090909</v>
          </cell>
        </row>
        <row r="490">
          <cell r="B490" t="str">
            <v>Dung dịch nội chuẩn đậm đặc gồm 9 chất chuẩn đồng vị 13C dioxin/furan phân tích dioxin/furan mẫu khí thải  (13C12, 99%)
(M 23 INTERNAL STANDARD STOCK SOLUTION (13C12, 99%)</v>
          </cell>
          <cell r="C490" t="str">
            <v>uL</v>
          </cell>
          <cell r="E490">
            <v>44000</v>
          </cell>
          <cell r="F490">
            <v>40000</v>
          </cell>
        </row>
        <row r="491">
          <cell r="B491" t="str">
            <v>Dung dịch chuẩn thu hồi đậm đặc gồm 2 chất chuẩn 13C dioxin/furan, phân tích dioxin/furan mẫu khí thải (13C12, 99%)
(M 23 RECOVERY STANDARD STOCK SOLUTION (13C12, 99%)</v>
          </cell>
          <cell r="C491" t="str">
            <v>uL</v>
          </cell>
          <cell r="E491">
            <v>22200</v>
          </cell>
          <cell r="F491">
            <v>20181.81818181818</v>
          </cell>
        </row>
        <row r="492">
          <cell r="B492" t="str">
            <v xml:space="preserve">Rinsing Air Controller: </v>
          </cell>
          <cell r="E492">
            <v>54565000</v>
          </cell>
          <cell r="F492">
            <v>49604545.454545453</v>
          </cell>
        </row>
        <row r="493">
          <cell r="B493" t="str">
            <v>Fuse:T1145G570/1A Micro fuse 5x20 mm 1AT</v>
          </cell>
          <cell r="E493">
            <v>176000</v>
          </cell>
          <cell r="F493">
            <v>160000</v>
          </cell>
        </row>
        <row r="494">
          <cell r="B494" t="str">
            <v>Ống DO (Glass tube)</v>
          </cell>
          <cell r="C494" t="str">
            <v>Chiếc</v>
          </cell>
          <cell r="E494">
            <v>47325000</v>
          </cell>
          <cell r="F494">
            <v>43022727.272727266</v>
          </cell>
        </row>
        <row r="495">
          <cell r="B495" t="str">
            <v>Đèn thủy ngân (Mecury lamp)</v>
          </cell>
          <cell r="C495" t="str">
            <v>Chiếc</v>
          </cell>
          <cell r="E495">
            <v>61727000</v>
          </cell>
          <cell r="F495">
            <v>56115454.545454539</v>
          </cell>
        </row>
        <row r="496">
          <cell r="B496" t="str">
            <v>Đèn tử ngoại (UV Lamp)
UV lamp for internal gas genarator</v>
          </cell>
          <cell r="C496" t="str">
            <v>Chiếc</v>
          </cell>
          <cell r="E496">
            <v>45747000</v>
          </cell>
          <cell r="F496">
            <v>41588181.818181813</v>
          </cell>
        </row>
        <row r="497">
          <cell r="B497" t="str">
            <v>Nylon 1/8 silencer</v>
          </cell>
          <cell r="C497" t="str">
            <v>Chiếc</v>
          </cell>
          <cell r="E497">
            <v>10000000</v>
          </cell>
          <cell r="F497">
            <v>9090909.0909090899</v>
          </cell>
        </row>
        <row r="498">
          <cell r="B498" t="str">
            <v>Găng tay y tế</v>
          </cell>
          <cell r="C498" t="str">
            <v>Hộp</v>
          </cell>
          <cell r="E498">
            <v>400000</v>
          </cell>
          <cell r="F498">
            <v>363636.36363636359</v>
          </cell>
        </row>
        <row r="499">
          <cell r="B499" t="str">
            <v>Dung dịch chuẩn  Pb214, Bi214, Tl208, Ac228, Ra226, Cs137, K40, Be7  hoạt độ 200Bq/l</v>
          </cell>
          <cell r="C499" t="str">
            <v>ml</v>
          </cell>
          <cell r="E499">
            <v>100000</v>
          </cell>
          <cell r="F499">
            <v>90909.090909090897</v>
          </cell>
        </row>
      </sheetData>
      <sheetData sheetId="2">
        <row r="3">
          <cell r="B3" t="str">
            <v>Ác quy 6v</v>
          </cell>
          <cell r="C3" t="str">
            <v>cái</v>
          </cell>
          <cell r="D3">
            <v>300000</v>
          </cell>
          <cell r="E3">
            <v>272727.27272727271</v>
          </cell>
          <cell r="F3">
            <v>5</v>
          </cell>
        </row>
        <row r="4">
          <cell r="B4" t="str">
            <v>Áp kế</v>
          </cell>
          <cell r="C4" t="str">
            <v>cái</v>
          </cell>
          <cell r="D4">
            <v>5215100</v>
          </cell>
          <cell r="E4">
            <v>4741000</v>
          </cell>
          <cell r="F4">
            <v>10</v>
          </cell>
        </row>
        <row r="5">
          <cell r="B5" t="str">
            <v>Ẩm kế Asman</v>
          </cell>
          <cell r="C5" t="str">
            <v>bộ</v>
          </cell>
          <cell r="D5">
            <v>931000</v>
          </cell>
          <cell r="E5">
            <v>846363.63636363635</v>
          </cell>
          <cell r="F5">
            <v>5</v>
          </cell>
        </row>
        <row r="6">
          <cell r="B6" t="str">
            <v>Bể ổn định nhiệt</v>
          </cell>
          <cell r="C6" t="str">
            <v>cái</v>
          </cell>
          <cell r="D6">
            <v>131250000</v>
          </cell>
          <cell r="E6">
            <v>119318181.81818181</v>
          </cell>
          <cell r="F6">
            <v>5</v>
          </cell>
        </row>
        <row r="7">
          <cell r="B7" t="str">
            <v>Bể siêu âm</v>
          </cell>
          <cell r="C7" t="str">
            <v>cái</v>
          </cell>
          <cell r="D7">
            <v>49350000</v>
          </cell>
          <cell r="E7">
            <v>44863636.36363636</v>
          </cell>
          <cell r="F7">
            <v>5</v>
          </cell>
        </row>
        <row r="8">
          <cell r="B8" t="str">
            <v>Bếp cách cát</v>
          </cell>
          <cell r="C8" t="str">
            <v>cái</v>
          </cell>
          <cell r="D8">
            <v>8800000</v>
          </cell>
          <cell r="E8">
            <v>7999999.9999999991</v>
          </cell>
          <cell r="F8">
            <v>5</v>
          </cell>
        </row>
        <row r="9">
          <cell r="B9" t="str">
            <v>Bếp cách thủy</v>
          </cell>
          <cell r="C9" t="str">
            <v>Cái</v>
          </cell>
          <cell r="D9">
            <v>63628000</v>
          </cell>
          <cell r="E9">
            <v>57843636.36363636</v>
          </cell>
          <cell r="F9">
            <v>5</v>
          </cell>
        </row>
        <row r="10">
          <cell r="B10" t="str">
            <v>Bếp điều chỉnh nhiệt</v>
          </cell>
          <cell r="C10" t="str">
            <v>Cái</v>
          </cell>
          <cell r="D10">
            <v>8800000</v>
          </cell>
          <cell r="E10">
            <v>7999999.9999999991</v>
          </cell>
          <cell r="F10">
            <v>5</v>
          </cell>
        </row>
        <row r="11">
          <cell r="B11" t="str">
            <v>Bình hút ẩm</v>
          </cell>
          <cell r="C11" t="str">
            <v>Cái</v>
          </cell>
          <cell r="D11">
            <v>5500000</v>
          </cell>
          <cell r="E11">
            <v>5000000</v>
          </cell>
          <cell r="F11">
            <v>5</v>
          </cell>
        </row>
        <row r="12">
          <cell r="B12" t="str">
            <v>Bộ lấy mẫu khí</v>
          </cell>
          <cell r="C12" t="str">
            <v>bộ</v>
          </cell>
          <cell r="D12">
            <v>49350000</v>
          </cell>
          <cell r="E12">
            <v>44863636.36363636</v>
          </cell>
          <cell r="F12">
            <v>5</v>
          </cell>
        </row>
        <row r="13">
          <cell r="B13" t="str">
            <v>Bộ lọc hút chân không</v>
          </cell>
          <cell r="C13" t="str">
            <v>bộ</v>
          </cell>
          <cell r="D13">
            <v>52500000</v>
          </cell>
          <cell r="E13">
            <v>47727272.727272727</v>
          </cell>
          <cell r="F13">
            <v>5</v>
          </cell>
        </row>
        <row r="14">
          <cell r="B14" t="str">
            <v>Bộ phân tích thủy ngân và asen</v>
          </cell>
          <cell r="C14" t="str">
            <v>bộ</v>
          </cell>
          <cell r="D14">
            <v>229000000</v>
          </cell>
          <cell r="E14">
            <v>208181818.18181816</v>
          </cell>
          <cell r="F14">
            <v>10</v>
          </cell>
        </row>
        <row r="15">
          <cell r="B15" t="str">
            <v>Bộ phân tích thủy ngân và asen MHS hoặc FIAS</v>
          </cell>
          <cell r="C15" t="str">
            <v>bộ</v>
          </cell>
          <cell r="D15">
            <v>229000000</v>
          </cell>
          <cell r="E15">
            <v>208181818.18181816</v>
          </cell>
          <cell r="F15">
            <v>10</v>
          </cell>
        </row>
        <row r="16">
          <cell r="B16" t="str">
            <v>Bộ Soxlel</v>
          </cell>
          <cell r="C16" t="str">
            <v>bộ</v>
          </cell>
          <cell r="D16">
            <v>118462000</v>
          </cell>
          <cell r="E16">
            <v>107692727.27272727</v>
          </cell>
          <cell r="F16">
            <v>5</v>
          </cell>
        </row>
        <row r="17">
          <cell r="B17" t="str">
            <v>Bơm chân không</v>
          </cell>
          <cell r="C17" t="str">
            <v>cái</v>
          </cell>
          <cell r="D17">
            <v>32340000</v>
          </cell>
          <cell r="E17">
            <v>29399999.999999996</v>
          </cell>
          <cell r="F17">
            <v>5</v>
          </cell>
        </row>
        <row r="18">
          <cell r="B18" t="str">
            <v>Bơm hút</v>
          </cell>
          <cell r="C18" t="str">
            <v>cái</v>
          </cell>
          <cell r="D18">
            <v>3000000</v>
          </cell>
          <cell r="E18">
            <v>2727272.7272727271</v>
          </cell>
          <cell r="F18">
            <v>5</v>
          </cell>
        </row>
        <row r="19">
          <cell r="B19" t="str">
            <v>Cân phân tích mẫu</v>
          </cell>
          <cell r="C19" t="str">
            <v>Cái</v>
          </cell>
          <cell r="D19">
            <v>30000000</v>
          </cell>
          <cell r="E19">
            <v>27272727.27272727</v>
          </cell>
          <cell r="F19">
            <v>8</v>
          </cell>
        </row>
        <row r="20">
          <cell r="B20" t="str">
            <v>Đầu đo nhiệt độ</v>
          </cell>
          <cell r="C20" t="str">
            <v>cái</v>
          </cell>
          <cell r="D20">
            <v>3300000.0000000005</v>
          </cell>
          <cell r="E20">
            <v>3000000</v>
          </cell>
          <cell r="F20">
            <v>5</v>
          </cell>
        </row>
        <row r="21">
          <cell r="B21" t="str">
            <v>Đĩa Sechi</v>
          </cell>
          <cell r="C21" t="str">
            <v>bộ</v>
          </cell>
          <cell r="D21">
            <v>30000</v>
          </cell>
          <cell r="E21">
            <v>27272.727272727272</v>
          </cell>
          <cell r="F21">
            <v>5</v>
          </cell>
        </row>
        <row r="22">
          <cell r="B22" t="str">
            <v>Thiết bị đo độ rung</v>
          </cell>
          <cell r="C22" t="str">
            <v>Bộ</v>
          </cell>
          <cell r="D22">
            <v>35000000</v>
          </cell>
          <cell r="E22">
            <v>31818181.818181816</v>
          </cell>
          <cell r="F22">
            <v>1</v>
          </cell>
        </row>
        <row r="23">
          <cell r="B23" t="str">
            <v>Điện năng</v>
          </cell>
          <cell r="D23">
            <v>1838</v>
          </cell>
          <cell r="E23">
            <v>1670.9090909090908</v>
          </cell>
        </row>
        <row r="24">
          <cell r="B24" t="str">
            <v>FPP-15</v>
          </cell>
          <cell r="C24" t="str">
            <v>m2</v>
          </cell>
          <cell r="D24">
            <v>600000</v>
          </cell>
          <cell r="E24">
            <v>545454.54545454541</v>
          </cell>
          <cell r="F24">
            <v>5</v>
          </cell>
        </row>
        <row r="25">
          <cell r="B25" t="str">
            <v>GC-FID</v>
          </cell>
          <cell r="C25" t="str">
            <v>bộ</v>
          </cell>
          <cell r="D25">
            <v>1204690000</v>
          </cell>
          <cell r="E25">
            <v>1095172727.2727273</v>
          </cell>
          <cell r="F25">
            <v>10</v>
          </cell>
        </row>
        <row r="26">
          <cell r="B26" t="str">
            <v>Hệ đếm tổng alpha, Bêta phông thấp</v>
          </cell>
          <cell r="C26" t="str">
            <v>Bộ</v>
          </cell>
          <cell r="D26">
            <v>450000000</v>
          </cell>
          <cell r="E26">
            <v>409090909.09090906</v>
          </cell>
          <cell r="F26">
            <v>5</v>
          </cell>
        </row>
        <row r="27">
          <cell r="B27" t="str">
            <v>Hệ phổ kế Gamma phông thấp</v>
          </cell>
          <cell r="C27" t="str">
            <v>Bộ</v>
          </cell>
          <cell r="D27">
            <v>2200000000</v>
          </cell>
          <cell r="E27">
            <v>1999999999.9999998</v>
          </cell>
          <cell r="F27">
            <v>5</v>
          </cell>
        </row>
        <row r="28">
          <cell r="B28" t="str">
            <v>Hệ thống nạp mẫu khí</v>
          </cell>
          <cell r="C28" t="str">
            <v>bộ</v>
          </cell>
          <cell r="D28">
            <v>7500000</v>
          </cell>
          <cell r="E28">
            <v>6818181.8181818174</v>
          </cell>
          <cell r="F28">
            <v>5</v>
          </cell>
        </row>
        <row r="29">
          <cell r="B29" t="str">
            <v>Hệ điện phân</v>
          </cell>
          <cell r="C29" t="str">
            <v>bộ</v>
          </cell>
          <cell r="D29">
            <v>55000000</v>
          </cell>
          <cell r="E29">
            <v>49999999.999999993</v>
          </cell>
          <cell r="F29">
            <v>5</v>
          </cell>
        </row>
        <row r="30">
          <cell r="B30" t="str">
            <v>Hệ làm bay hơi lạnh</v>
          </cell>
          <cell r="C30" t="str">
            <v>Bộ</v>
          </cell>
          <cell r="D30">
            <v>75000000</v>
          </cell>
          <cell r="E30">
            <v>68181818.181818172</v>
          </cell>
          <cell r="F30">
            <v>5</v>
          </cell>
        </row>
        <row r="31">
          <cell r="B31" t="str">
            <v>Kích 5 tấn</v>
          </cell>
          <cell r="C31" t="str">
            <v>cái</v>
          </cell>
          <cell r="D31">
            <v>7000000</v>
          </cell>
          <cell r="E31">
            <v>6363636.3636363633</v>
          </cell>
          <cell r="F31">
            <v>5</v>
          </cell>
        </row>
        <row r="32">
          <cell r="B32" t="str">
            <v>Kính hiển vi</v>
          </cell>
          <cell r="C32" t="str">
            <v>cái</v>
          </cell>
          <cell r="D32">
            <v>61000000</v>
          </cell>
          <cell r="E32">
            <v>55454545.454545453</v>
          </cell>
          <cell r="F32">
            <v>5</v>
          </cell>
        </row>
        <row r="33">
          <cell r="B33" t="str">
            <v>Kính hiển vi độ phóng đại 1000 lần</v>
          </cell>
          <cell r="C33" t="str">
            <v>cái</v>
          </cell>
          <cell r="D33">
            <v>445000000</v>
          </cell>
          <cell r="E33">
            <v>404545454.5454545</v>
          </cell>
          <cell r="F33">
            <v>5</v>
          </cell>
        </row>
        <row r="34">
          <cell r="B34" t="str">
            <v>Kính hiển vi soi nổi độ phóng đại 400 lần</v>
          </cell>
          <cell r="C34" t="str">
            <v>cái</v>
          </cell>
          <cell r="D34">
            <v>320000000</v>
          </cell>
          <cell r="E34">
            <v>290909090.90909088</v>
          </cell>
          <cell r="F34">
            <v>5</v>
          </cell>
        </row>
        <row r="35">
          <cell r="B35" t="str">
            <v>Khay hứng chuyên dụng</v>
          </cell>
          <cell r="C35" t="str">
            <v>cái</v>
          </cell>
          <cell r="D35">
            <v>30000000</v>
          </cell>
          <cell r="E35">
            <v>27272727.27272727</v>
          </cell>
          <cell r="F35">
            <v>5</v>
          </cell>
        </row>
        <row r="36">
          <cell r="B36" t="str">
            <v>Khoan nhỏ</v>
          </cell>
          <cell r="C36" t="str">
            <v>cái</v>
          </cell>
          <cell r="D36">
            <v>10000000</v>
          </cell>
          <cell r="E36">
            <v>9090909.0909090899</v>
          </cell>
          <cell r="F36">
            <v>5</v>
          </cell>
        </row>
        <row r="37">
          <cell r="B37" t="str">
            <v>LF 197</v>
          </cell>
          <cell r="C37" t="str">
            <v>cái</v>
          </cell>
          <cell r="D37">
            <v>40000000</v>
          </cell>
          <cell r="E37">
            <v>36363636.36363636</v>
          </cell>
          <cell r="F37">
            <v>5</v>
          </cell>
        </row>
        <row r="38">
          <cell r="B38" t="str">
            <v>LF 197S</v>
          </cell>
          <cell r="C38" t="str">
            <v>cái</v>
          </cell>
          <cell r="D38">
            <v>42000000</v>
          </cell>
          <cell r="E38">
            <v>38181818.18181818</v>
          </cell>
          <cell r="F38">
            <v>5</v>
          </cell>
        </row>
        <row r="39">
          <cell r="B39" t="str">
            <v>Lò chuyển hóa</v>
          </cell>
          <cell r="C39" t="str">
            <v>bộ</v>
          </cell>
          <cell r="D39">
            <v>150000000</v>
          </cell>
          <cell r="E39">
            <v>136363636.36363634</v>
          </cell>
          <cell r="F39">
            <v>5</v>
          </cell>
        </row>
        <row r="40">
          <cell r="B40" t="str">
            <v>Lò nung</v>
          </cell>
          <cell r="C40" t="str">
            <v>Cái</v>
          </cell>
          <cell r="D40">
            <v>64000000</v>
          </cell>
          <cell r="E40">
            <v>58181818.18181818</v>
          </cell>
          <cell r="F40">
            <v>10</v>
          </cell>
        </row>
        <row r="41">
          <cell r="B41" t="str">
            <v>Lò vi sóng</v>
          </cell>
          <cell r="C41" t="str">
            <v>Cái</v>
          </cell>
          <cell r="D41">
            <v>317240000</v>
          </cell>
          <cell r="E41">
            <v>288400000</v>
          </cell>
          <cell r="F41">
            <v>5</v>
          </cell>
        </row>
        <row r="42">
          <cell r="B42" t="str">
            <v>Máy nghiền</v>
          </cell>
          <cell r="C42" t="str">
            <v>Cái</v>
          </cell>
          <cell r="D42">
            <v>2500000</v>
          </cell>
          <cell r="E42">
            <v>2272727.2727272725</v>
          </cell>
          <cell r="F42">
            <v>5</v>
          </cell>
        </row>
        <row r="43">
          <cell r="B43" t="str">
            <v>Máy chưng cất đạm tự động</v>
          </cell>
          <cell r="C43" t="str">
            <v>Cái</v>
          </cell>
          <cell r="D43">
            <v>97230000</v>
          </cell>
          <cell r="E43">
            <v>88390909.090909079</v>
          </cell>
          <cell r="F43">
            <v>5</v>
          </cell>
        </row>
        <row r="44">
          <cell r="B44" t="str">
            <v>Máy cất Nitơ</v>
          </cell>
          <cell r="C44" t="str">
            <v>Cái</v>
          </cell>
          <cell r="D44">
            <v>162000000</v>
          </cell>
          <cell r="E44">
            <v>147272727.27272725</v>
          </cell>
          <cell r="F44">
            <v>5</v>
          </cell>
        </row>
        <row r="45">
          <cell r="B45" t="str">
            <v>Máy cất quay chân không</v>
          </cell>
          <cell r="C45" t="str">
            <v>Cái</v>
          </cell>
          <cell r="D45">
            <v>97230000</v>
          </cell>
          <cell r="E45">
            <v>88390909.090909079</v>
          </cell>
          <cell r="F45">
            <v>5</v>
          </cell>
        </row>
        <row r="46">
          <cell r="B46" t="str">
            <v>Máy cô nitơ</v>
          </cell>
          <cell r="C46" t="str">
            <v>bộ</v>
          </cell>
          <cell r="D46">
            <v>70000000</v>
          </cell>
          <cell r="E46">
            <v>63636363.636363633</v>
          </cell>
          <cell r="F46">
            <v>5</v>
          </cell>
        </row>
        <row r="47">
          <cell r="B47" t="str">
            <v>Máy đếm Coliform</v>
          </cell>
          <cell r="C47" t="str">
            <v>cái</v>
          </cell>
          <cell r="D47">
            <v>41600000</v>
          </cell>
          <cell r="E47">
            <v>37818181.818181813</v>
          </cell>
          <cell r="F47">
            <v>5</v>
          </cell>
        </row>
        <row r="48">
          <cell r="B48" t="str">
            <v>Máy điều hòa nhiệt độ</v>
          </cell>
          <cell r="C48" t="str">
            <v>cái</v>
          </cell>
          <cell r="D48">
            <v>9500000</v>
          </cell>
          <cell r="E48">
            <v>8636363.6363636348</v>
          </cell>
          <cell r="F48">
            <v>5</v>
          </cell>
        </row>
        <row r="49">
          <cell r="B49" t="str">
            <v>Máy định vị GPS</v>
          </cell>
          <cell r="C49" t="str">
            <v>bộ</v>
          </cell>
          <cell r="D49">
            <v>10450000</v>
          </cell>
          <cell r="E49">
            <v>9500000</v>
          </cell>
          <cell r="F49">
            <v>5</v>
          </cell>
        </row>
        <row r="50">
          <cell r="B50" t="str">
            <v>Máy định vị GPS cầm tay</v>
          </cell>
          <cell r="C50" t="str">
            <v xml:space="preserve">cái </v>
          </cell>
          <cell r="D50">
            <v>10450000</v>
          </cell>
          <cell r="E50">
            <v>9500000</v>
          </cell>
          <cell r="F50">
            <v>5</v>
          </cell>
        </row>
        <row r="51">
          <cell r="B51" t="str">
            <v xml:space="preserve">Máy đo độ đục </v>
          </cell>
          <cell r="C51" t="str">
            <v xml:space="preserve">cái </v>
          </cell>
          <cell r="D51">
            <v>26250000</v>
          </cell>
          <cell r="E51">
            <v>23863636.363636363</v>
          </cell>
          <cell r="F51">
            <v>5</v>
          </cell>
        </row>
        <row r="52">
          <cell r="B52" t="str">
            <v>Máy đo EC</v>
          </cell>
          <cell r="C52" t="str">
            <v>bộ</v>
          </cell>
          <cell r="D52">
            <v>44100000</v>
          </cell>
          <cell r="E52">
            <v>40090909.090909086</v>
          </cell>
          <cell r="F52">
            <v>5</v>
          </cell>
        </row>
        <row r="53">
          <cell r="B53" t="str">
            <v>Máy đo gió cầm tay</v>
          </cell>
          <cell r="C53" t="str">
            <v>bộ</v>
          </cell>
          <cell r="D53">
            <v>17850000</v>
          </cell>
          <cell r="E53">
            <v>16227272.727272727</v>
          </cell>
          <cell r="F53">
            <v>5</v>
          </cell>
        </row>
        <row r="54">
          <cell r="B54" t="str">
            <v>Máy đo hàm lượng Radon</v>
          </cell>
          <cell r="C54" t="str">
            <v>bộ</v>
          </cell>
          <cell r="D54">
            <v>400000000</v>
          </cell>
          <cell r="E54">
            <v>363636363.63636363</v>
          </cell>
          <cell r="F54">
            <v>5</v>
          </cell>
        </row>
        <row r="55">
          <cell r="B55" t="str">
            <v>Máy đo nhiệt độ</v>
          </cell>
          <cell r="C55" t="str">
            <v>bộ</v>
          </cell>
          <cell r="D55">
            <v>3385000</v>
          </cell>
          <cell r="E55">
            <v>3077272.7272727271</v>
          </cell>
          <cell r="F55">
            <v>5</v>
          </cell>
        </row>
        <row r="56">
          <cell r="B56" t="str">
            <v>Máy đo pH</v>
          </cell>
          <cell r="C56" t="str">
            <v>bộ</v>
          </cell>
          <cell r="D56">
            <v>33846000</v>
          </cell>
          <cell r="E56">
            <v>30769090.909090906</v>
          </cell>
          <cell r="F56">
            <v>5</v>
          </cell>
        </row>
        <row r="57">
          <cell r="B57" t="str">
            <v>Máy đo quang DR 2010</v>
          </cell>
          <cell r="C57" t="str">
            <v>bộ</v>
          </cell>
          <cell r="D57">
            <v>100750000</v>
          </cell>
          <cell r="E57">
            <v>91590909.090909079</v>
          </cell>
          <cell r="F57">
            <v>5</v>
          </cell>
        </row>
        <row r="58">
          <cell r="B58" t="str">
            <v>Máy đo quang DR 2400</v>
          </cell>
          <cell r="C58" t="str">
            <v>bộ</v>
          </cell>
          <cell r="D58">
            <v>100750000</v>
          </cell>
          <cell r="E58">
            <v>91590909.090909079</v>
          </cell>
          <cell r="F58">
            <v>5</v>
          </cell>
        </row>
        <row r="59">
          <cell r="B59" t="str">
            <v>Máy đo xuất liều bức xạ cầm tay</v>
          </cell>
          <cell r="C59" t="str">
            <v>cái</v>
          </cell>
          <cell r="D59">
            <v>70000000</v>
          </cell>
          <cell r="E59">
            <v>63636363.636363633</v>
          </cell>
          <cell r="F59">
            <v>5</v>
          </cell>
        </row>
        <row r="60">
          <cell r="B60" t="str">
            <v>Máy hút khí</v>
          </cell>
          <cell r="C60" t="str">
            <v>cái</v>
          </cell>
          <cell r="D60">
            <v>350000000</v>
          </cell>
          <cell r="E60">
            <v>318181818.18181813</v>
          </cell>
          <cell r="F60">
            <v>5</v>
          </cell>
        </row>
        <row r="61">
          <cell r="B61" t="str">
            <v>Máy khuấy</v>
          </cell>
          <cell r="C61" t="str">
            <v>Cái</v>
          </cell>
          <cell r="D61">
            <v>49875000</v>
          </cell>
          <cell r="E61">
            <v>45340909.090909086</v>
          </cell>
          <cell r="F61">
            <v>5</v>
          </cell>
        </row>
        <row r="62">
          <cell r="B62" t="str">
            <v>Máy khuấy từ</v>
          </cell>
          <cell r="C62" t="str">
            <v>cái</v>
          </cell>
          <cell r="D62">
            <v>22000000</v>
          </cell>
          <cell r="E62">
            <v>20000000</v>
          </cell>
          <cell r="F62">
            <v>5</v>
          </cell>
        </row>
        <row r="63">
          <cell r="B63" t="str">
            <v>Máy lắc xoay tròn</v>
          </cell>
          <cell r="C63" t="str">
            <v>cái</v>
          </cell>
          <cell r="D63">
            <v>80000000</v>
          </cell>
          <cell r="E63">
            <v>72727272.727272719</v>
          </cell>
          <cell r="F63">
            <v>5</v>
          </cell>
        </row>
        <row r="64">
          <cell r="B64" t="str">
            <v>Máy lắc</v>
          </cell>
          <cell r="C64" t="str">
            <v>bộ</v>
          </cell>
          <cell r="D64">
            <v>33846000</v>
          </cell>
          <cell r="E64">
            <v>30769090.909090906</v>
          </cell>
          <cell r="F64">
            <v>5</v>
          </cell>
        </row>
        <row r="65">
          <cell r="B65" t="str">
            <v>Máy lấy mẫu TESTO 350XL hoặc TESTO 512</v>
          </cell>
          <cell r="C65" t="str">
            <v>bộ</v>
          </cell>
          <cell r="D65">
            <v>447887261.09600002</v>
          </cell>
          <cell r="E65">
            <v>407170237.35999995</v>
          </cell>
          <cell r="F65">
            <v>5</v>
          </cell>
        </row>
        <row r="66">
          <cell r="B66" t="str">
            <v>Máy lọc chân không</v>
          </cell>
          <cell r="C66" t="str">
            <v>bộ</v>
          </cell>
          <cell r="D66">
            <v>6500000</v>
          </cell>
          <cell r="E66">
            <v>5909090.9090909082</v>
          </cell>
          <cell r="F66">
            <v>5</v>
          </cell>
        </row>
        <row r="67">
          <cell r="B67" t="str">
            <v>Máy nén khí</v>
          </cell>
          <cell r="C67" t="str">
            <v>bộ</v>
          </cell>
          <cell r="D67">
            <v>17850000</v>
          </cell>
          <cell r="E67">
            <v>16227272.727272727</v>
          </cell>
          <cell r="F67">
            <v>5</v>
          </cell>
        </row>
        <row r="68">
          <cell r="B68" t="str">
            <v>Máy phân tích quang phổ</v>
          </cell>
          <cell r="C68" t="str">
            <v>bộ</v>
          </cell>
          <cell r="D68">
            <v>120750000</v>
          </cell>
          <cell r="E68">
            <v>109772727.27272727</v>
          </cell>
          <cell r="F68">
            <v>10</v>
          </cell>
        </row>
        <row r="69">
          <cell r="B69" t="str">
            <v>Máy phân tích quang phổ AAS</v>
          </cell>
          <cell r="C69" t="str">
            <v>bộ</v>
          </cell>
          <cell r="D69">
            <v>1058000000</v>
          </cell>
          <cell r="E69">
            <v>961818181.81818175</v>
          </cell>
          <cell r="F69">
            <v>10</v>
          </cell>
        </row>
        <row r="70">
          <cell r="B70" t="str">
            <v>Máy phân tích quang phổ AAS hoặc cực phổ</v>
          </cell>
          <cell r="C70" t="str">
            <v>bộ</v>
          </cell>
          <cell r="D70">
            <v>1058000000</v>
          </cell>
          <cell r="E70">
            <v>961818181.81818175</v>
          </cell>
          <cell r="F70">
            <v>10</v>
          </cell>
        </row>
        <row r="71">
          <cell r="B71" t="str">
            <v>Máy phân tích sắc ký GC</v>
          </cell>
          <cell r="C71" t="str">
            <v>bộ</v>
          </cell>
          <cell r="D71">
            <v>1204690000</v>
          </cell>
          <cell r="E71">
            <v>1095172727.2727273</v>
          </cell>
          <cell r="F71">
            <v>10</v>
          </cell>
        </row>
        <row r="72">
          <cell r="B72" t="str">
            <v>Máy phân tích trắc quang</v>
          </cell>
          <cell r="C72" t="str">
            <v>bộ</v>
          </cell>
          <cell r="D72">
            <v>100750000</v>
          </cell>
          <cell r="E72">
            <v>91590909.090909079</v>
          </cell>
          <cell r="F72">
            <v>10</v>
          </cell>
        </row>
        <row r="73">
          <cell r="B73" t="str">
            <v>Máy quang kế ngọn lửa</v>
          </cell>
          <cell r="C73" t="str">
            <v>bộ</v>
          </cell>
          <cell r="D73">
            <v>310869600</v>
          </cell>
          <cell r="E73">
            <v>282608727.27272725</v>
          </cell>
          <cell r="F73">
            <v>10</v>
          </cell>
        </row>
        <row r="74">
          <cell r="B74" t="str">
            <v>Máy quang phổ AAS</v>
          </cell>
          <cell r="C74" t="str">
            <v>bộ</v>
          </cell>
          <cell r="D74">
            <v>1058000000</v>
          </cell>
          <cell r="E74">
            <v>961818181.81818175</v>
          </cell>
          <cell r="F74">
            <v>10</v>
          </cell>
        </row>
        <row r="75">
          <cell r="B75" t="str">
            <v>Máy quang phổ ngọn lửa</v>
          </cell>
          <cell r="C75" t="str">
            <v>bộ</v>
          </cell>
          <cell r="D75">
            <v>310869600</v>
          </cell>
          <cell r="E75">
            <v>282608727.27272725</v>
          </cell>
          <cell r="F75">
            <v>10</v>
          </cell>
        </row>
        <row r="76">
          <cell r="B76" t="str">
            <v>Máy quang phổ UV-1601</v>
          </cell>
          <cell r="C76" t="str">
            <v>bộ</v>
          </cell>
          <cell r="D76">
            <v>156171600</v>
          </cell>
          <cell r="E76">
            <v>141974181.81818181</v>
          </cell>
          <cell r="F76">
            <v>10</v>
          </cell>
        </row>
        <row r="77">
          <cell r="B77" t="str">
            <v>Máy quang phổ UV-VIS</v>
          </cell>
          <cell r="C77" t="str">
            <v>bộ</v>
          </cell>
          <cell r="D77">
            <v>100750000</v>
          </cell>
          <cell r="E77">
            <v>91590909.090909079</v>
          </cell>
          <cell r="F77">
            <v>10</v>
          </cell>
        </row>
        <row r="78">
          <cell r="B78" t="str">
            <v>Máy sắc ký khí GC</v>
          </cell>
          <cell r="C78" t="str">
            <v>cái</v>
          </cell>
          <cell r="D78">
            <v>1204690000</v>
          </cell>
          <cell r="E78">
            <v>1095172727.2727273</v>
          </cell>
          <cell r="F78">
            <v>10</v>
          </cell>
        </row>
        <row r="79">
          <cell r="B79" t="str">
            <v>Máy sắc ký lỏng cao áp</v>
          </cell>
          <cell r="C79" t="str">
            <v>bộ</v>
          </cell>
          <cell r="D79">
            <v>865000000</v>
          </cell>
          <cell r="E79">
            <v>786363636.36363626</v>
          </cell>
          <cell r="F79">
            <v>10</v>
          </cell>
        </row>
        <row r="80">
          <cell r="B80" t="str">
            <v>Máy sắc khí</v>
          </cell>
          <cell r="C80" t="str">
            <v>cái</v>
          </cell>
          <cell r="D80">
            <v>1204690000</v>
          </cell>
          <cell r="E80">
            <v>1095172727.2727273</v>
          </cell>
          <cell r="F80">
            <v>10</v>
          </cell>
        </row>
        <row r="81">
          <cell r="B81" t="str">
            <v>Thiết bị phân tích IC</v>
          </cell>
          <cell r="C81" t="str">
            <v>bộ</v>
          </cell>
          <cell r="D81">
            <v>900000000</v>
          </cell>
          <cell r="E81">
            <v>818181818.18181813</v>
          </cell>
          <cell r="F81">
            <v>10</v>
          </cell>
        </row>
        <row r="82">
          <cell r="B82" t="str">
            <v>Máy tính xử lý số liệu</v>
          </cell>
          <cell r="C82" t="str">
            <v>bộ</v>
          </cell>
          <cell r="D82">
            <v>8940000</v>
          </cell>
          <cell r="E82">
            <v>8127272.7272727266</v>
          </cell>
          <cell r="F82">
            <v>5</v>
          </cell>
        </row>
        <row r="83">
          <cell r="B83" t="str">
            <v>Máy trắc quang</v>
          </cell>
          <cell r="C83" t="str">
            <v>bộ</v>
          </cell>
          <cell r="D83">
            <v>75000000</v>
          </cell>
          <cell r="E83">
            <v>68181818.181818172</v>
          </cell>
          <cell r="F83">
            <v>10</v>
          </cell>
        </row>
        <row r="84">
          <cell r="B84" t="str">
            <v>Nồi hấp</v>
          </cell>
          <cell r="C84" t="str">
            <v>Cái</v>
          </cell>
          <cell r="D84">
            <v>67200000</v>
          </cell>
          <cell r="E84">
            <v>61090909.090909086</v>
          </cell>
          <cell r="F84">
            <v>5</v>
          </cell>
        </row>
        <row r="85">
          <cell r="B85" t="str">
            <v>Nồi nấu có bộ phận lắc</v>
          </cell>
          <cell r="C85" t="str">
            <v>bộ</v>
          </cell>
          <cell r="D85">
            <v>50342000</v>
          </cell>
          <cell r="E85">
            <v>45765454.545454539</v>
          </cell>
          <cell r="F85">
            <v>5</v>
          </cell>
        </row>
        <row r="86">
          <cell r="B86" t="str">
            <v>Nhiệt ẩm kế Asman</v>
          </cell>
          <cell r="C86" t="str">
            <v>cái</v>
          </cell>
          <cell r="D86">
            <v>800000</v>
          </cell>
          <cell r="E86">
            <v>727272.72727272718</v>
          </cell>
          <cell r="F86">
            <v>5</v>
          </cell>
        </row>
        <row r="87">
          <cell r="B87" t="str">
            <v>Nhiệt kế thủy ngân</v>
          </cell>
          <cell r="C87" t="str">
            <v>bộ</v>
          </cell>
          <cell r="D87">
            <v>3045000</v>
          </cell>
          <cell r="E87">
            <v>2768181.8181818179</v>
          </cell>
          <cell r="F87">
            <v>5</v>
          </cell>
        </row>
        <row r="88">
          <cell r="B88" t="str">
            <v>Oxi 197</v>
          </cell>
          <cell r="C88" t="str">
            <v>bộ</v>
          </cell>
          <cell r="D88">
            <v>50769000</v>
          </cell>
          <cell r="E88">
            <v>46153636.36363636</v>
          </cell>
          <cell r="F88">
            <v>5</v>
          </cell>
        </row>
        <row r="89">
          <cell r="B89" t="str">
            <v>Oxi 197S</v>
          </cell>
          <cell r="C89" t="str">
            <v xml:space="preserve">cái </v>
          </cell>
          <cell r="D89">
            <v>60923000</v>
          </cell>
          <cell r="E89">
            <v>55384545.454545453</v>
          </cell>
          <cell r="F89">
            <v>5</v>
          </cell>
        </row>
        <row r="90">
          <cell r="B90" t="str">
            <v>pH 197</v>
          </cell>
          <cell r="C90" t="str">
            <v xml:space="preserve">cái </v>
          </cell>
          <cell r="D90">
            <v>50769000</v>
          </cell>
          <cell r="E90">
            <v>46153636.36363636</v>
          </cell>
          <cell r="F90">
            <v>5</v>
          </cell>
        </row>
        <row r="91">
          <cell r="B91" t="str">
            <v>pH 197S</v>
          </cell>
          <cell r="C91" t="str">
            <v xml:space="preserve">cái </v>
          </cell>
          <cell r="D91">
            <v>60923000</v>
          </cell>
          <cell r="E91">
            <v>55384545.454545453</v>
          </cell>
          <cell r="F91">
            <v>5</v>
          </cell>
        </row>
        <row r="92">
          <cell r="B92" t="str">
            <v>Pin 1.5v</v>
          </cell>
          <cell r="C92" t="str">
            <v>cái</v>
          </cell>
          <cell r="D92">
            <v>2500</v>
          </cell>
          <cell r="E92">
            <v>2272.7272727272725</v>
          </cell>
          <cell r="F92">
            <v>5</v>
          </cell>
        </row>
        <row r="93">
          <cell r="B93" t="str">
            <v>Pito type</v>
          </cell>
          <cell r="C93" t="str">
            <v>cái</v>
          </cell>
          <cell r="D93">
            <v>16291366.52</v>
          </cell>
          <cell r="E93">
            <v>14810333.199999999</v>
          </cell>
          <cell r="F93">
            <v>5</v>
          </cell>
        </row>
        <row r="94">
          <cell r="B94" t="str">
            <v xml:space="preserve">Popylon </v>
          </cell>
          <cell r="C94" t="str">
            <v>cái</v>
          </cell>
          <cell r="D94">
            <v>200000000</v>
          </cell>
          <cell r="E94">
            <v>181818181.81818181</v>
          </cell>
          <cell r="F94">
            <v>5</v>
          </cell>
        </row>
        <row r="95">
          <cell r="B95" t="str">
            <v xml:space="preserve">Quyntox </v>
          </cell>
          <cell r="C95" t="str">
            <v>bộ</v>
          </cell>
          <cell r="D95">
            <v>131087890.8</v>
          </cell>
          <cell r="E95">
            <v>119170809.81818181</v>
          </cell>
          <cell r="F95">
            <v>5</v>
          </cell>
        </row>
        <row r="96">
          <cell r="B96" t="str">
            <v>Testo 350</v>
          </cell>
          <cell r="C96" t="str">
            <v>bộ</v>
          </cell>
          <cell r="D96">
            <v>447387261</v>
          </cell>
          <cell r="E96">
            <v>406715691.81818181</v>
          </cell>
          <cell r="F96">
            <v>5</v>
          </cell>
        </row>
        <row r="97">
          <cell r="B97" t="str">
            <v>TESTO 512 hoặc thiết bị Metlab</v>
          </cell>
          <cell r="C97" t="str">
            <v>bộ</v>
          </cell>
          <cell r="D97">
            <v>33323249.699999999</v>
          </cell>
          <cell r="E97">
            <v>30293863.36363636</v>
          </cell>
          <cell r="F97">
            <v>5</v>
          </cell>
        </row>
        <row r="98">
          <cell r="B98" t="str">
            <v>Tủ ấm</v>
          </cell>
          <cell r="C98" t="str">
            <v>cái</v>
          </cell>
          <cell r="D98">
            <v>46200000</v>
          </cell>
          <cell r="E98">
            <v>42000000</v>
          </cell>
          <cell r="F98">
            <v>10</v>
          </cell>
        </row>
        <row r="99">
          <cell r="B99" t="str">
            <v>Tủ cấy vi sinh</v>
          </cell>
          <cell r="C99" t="str">
            <v>cái</v>
          </cell>
          <cell r="D99">
            <v>419580000</v>
          </cell>
          <cell r="E99">
            <v>381436363.63636363</v>
          </cell>
          <cell r="F99">
            <v>5</v>
          </cell>
        </row>
        <row r="100">
          <cell r="B100" t="str">
            <v>Tủ hút</v>
          </cell>
          <cell r="C100" t="str">
            <v>cái</v>
          </cell>
          <cell r="D100">
            <v>144900000</v>
          </cell>
          <cell r="E100">
            <v>131727272.72727272</v>
          </cell>
          <cell r="F100">
            <v>5</v>
          </cell>
        </row>
        <row r="101">
          <cell r="B101" t="str">
            <v>Tủ lạnh lưu chất chuẩn</v>
          </cell>
          <cell r="C101" t="str">
            <v>Cái</v>
          </cell>
          <cell r="D101">
            <v>204750000</v>
          </cell>
          <cell r="E101">
            <v>186136363.63636363</v>
          </cell>
          <cell r="F101">
            <v>5</v>
          </cell>
        </row>
        <row r="102">
          <cell r="B102" t="str">
            <v>Tủ bảo quản mẫu</v>
          </cell>
          <cell r="C102" t="str">
            <v xml:space="preserve">cái </v>
          </cell>
          <cell r="D102">
            <v>58800000</v>
          </cell>
          <cell r="E102">
            <v>53454545.454545453</v>
          </cell>
          <cell r="F102">
            <v>8</v>
          </cell>
        </row>
        <row r="103">
          <cell r="B103" t="str">
            <v>Tủ lưu chất chuẩn</v>
          </cell>
          <cell r="C103" t="str">
            <v>bộ</v>
          </cell>
          <cell r="D103">
            <v>58800000</v>
          </cell>
          <cell r="E103">
            <v>53454545.454545453</v>
          </cell>
          <cell r="F103">
            <v>5</v>
          </cell>
        </row>
        <row r="104">
          <cell r="B104" t="str">
            <v>Tủ lưu hóa chất</v>
          </cell>
          <cell r="C104" t="str">
            <v>cái</v>
          </cell>
          <cell r="D104">
            <v>58800000</v>
          </cell>
          <cell r="E104">
            <v>53454545.454545453</v>
          </cell>
          <cell r="F104">
            <v>5</v>
          </cell>
        </row>
        <row r="105">
          <cell r="B105" t="str">
            <v>Tủ lưu hóa chất chuẩn</v>
          </cell>
          <cell r="C105" t="str">
            <v>Cái</v>
          </cell>
          <cell r="D105">
            <v>58800000</v>
          </cell>
          <cell r="E105">
            <v>53454545.454545453</v>
          </cell>
          <cell r="F105">
            <v>5</v>
          </cell>
        </row>
        <row r="106">
          <cell r="B106" t="str">
            <v>Tủ sấy</v>
          </cell>
          <cell r="C106" t="str">
            <v>cái</v>
          </cell>
          <cell r="D106">
            <v>31040000</v>
          </cell>
          <cell r="E106">
            <v>28218181.818181816</v>
          </cell>
          <cell r="F106">
            <v>10</v>
          </cell>
        </row>
        <row r="107">
          <cell r="B107" t="str">
            <v>Tủ sấy mẫu</v>
          </cell>
          <cell r="C107" t="str">
            <v>cái</v>
          </cell>
          <cell r="D107">
            <v>31040000</v>
          </cell>
          <cell r="E107">
            <v>28218181.818181816</v>
          </cell>
          <cell r="F107">
            <v>10</v>
          </cell>
        </row>
        <row r="108">
          <cell r="B108" t="str">
            <v>Tủ ủ BOD</v>
          </cell>
          <cell r="C108" t="str">
            <v>cái</v>
          </cell>
          <cell r="D108">
            <v>57750000</v>
          </cell>
          <cell r="E108">
            <v>52499999.999999993</v>
          </cell>
          <cell r="F108">
            <v>5</v>
          </cell>
        </row>
        <row r="109">
          <cell r="B109" t="str">
            <v>Thiết bị chuyên dụng</v>
          </cell>
          <cell r="C109" t="str">
            <v>bộ</v>
          </cell>
          <cell r="D109">
            <v>64000000</v>
          </cell>
          <cell r="E109">
            <v>58181818.18181818</v>
          </cell>
          <cell r="F109">
            <v>10</v>
          </cell>
        </row>
        <row r="110">
          <cell r="B110" t="str">
            <v>Thiết bị chưng cất</v>
          </cell>
          <cell r="C110" t="str">
            <v>bộ</v>
          </cell>
          <cell r="D110">
            <v>97230000</v>
          </cell>
          <cell r="E110">
            <v>88390909.090909079</v>
          </cell>
          <cell r="F110">
            <v>5</v>
          </cell>
        </row>
        <row r="111">
          <cell r="B111" t="str">
            <v>Thiết bị điện hóa</v>
          </cell>
          <cell r="C111" t="str">
            <v>bộ</v>
          </cell>
          <cell r="D111">
            <v>52500000</v>
          </cell>
          <cell r="E111">
            <v>47727272.727272727</v>
          </cell>
          <cell r="F111">
            <v>10</v>
          </cell>
        </row>
        <row r="112">
          <cell r="B112" t="str">
            <v>Thiết bị định vị GPS</v>
          </cell>
          <cell r="C112" t="str">
            <v>bộ</v>
          </cell>
          <cell r="D112">
            <v>10450000</v>
          </cell>
          <cell r="E112">
            <v>9500000</v>
          </cell>
          <cell r="F112">
            <v>5</v>
          </cell>
        </row>
        <row r="113">
          <cell r="B113" t="str">
            <v>Thiết bị đo (BOD)</v>
          </cell>
          <cell r="C113" t="str">
            <v>bộ</v>
          </cell>
          <cell r="D113">
            <v>72975000</v>
          </cell>
          <cell r="E113">
            <v>66340909.090909086</v>
          </cell>
          <cell r="F113">
            <v>5</v>
          </cell>
        </row>
        <row r="114">
          <cell r="B114" t="str">
            <v>Thiết bị đo độ trong suốt</v>
          </cell>
          <cell r="C114" t="str">
            <v>bộ</v>
          </cell>
          <cell r="D114">
            <v>4000000</v>
          </cell>
          <cell r="E114">
            <v>3636363.6363636362</v>
          </cell>
          <cell r="F114">
            <v>5</v>
          </cell>
        </row>
        <row r="115">
          <cell r="B115" t="str">
            <v>Thiết bị đo EC</v>
          </cell>
          <cell r="C115" t="str">
            <v>bộ</v>
          </cell>
          <cell r="D115">
            <v>44100000</v>
          </cell>
          <cell r="E115">
            <v>40090909.090909086</v>
          </cell>
          <cell r="F115">
            <v>5</v>
          </cell>
        </row>
        <row r="116">
          <cell r="B116" t="str">
            <v>Thiết bị đo gió cầm tay</v>
          </cell>
          <cell r="C116" t="str">
            <v>bộ</v>
          </cell>
          <cell r="D116">
            <v>16923000</v>
          </cell>
          <cell r="E116">
            <v>15384545.454545453</v>
          </cell>
          <cell r="F116">
            <v>5</v>
          </cell>
        </row>
        <row r="117">
          <cell r="B117" t="str">
            <v>Thiết bị đo hiện số</v>
          </cell>
          <cell r="C117" t="str">
            <v>bộ</v>
          </cell>
          <cell r="D117">
            <v>16923000</v>
          </cell>
          <cell r="E117">
            <v>15384545.454545453</v>
          </cell>
          <cell r="F117">
            <v>5</v>
          </cell>
        </row>
        <row r="118">
          <cell r="B118" t="str">
            <v>Thiết bị đo hiện số và lưu kết quả</v>
          </cell>
          <cell r="C118" t="str">
            <v>bộ</v>
          </cell>
          <cell r="D118">
            <v>26950000</v>
          </cell>
          <cell r="E118">
            <v>24499999.999999996</v>
          </cell>
          <cell r="F118">
            <v>5</v>
          </cell>
        </row>
        <row r="119">
          <cell r="B119" t="str">
            <v>Thiết bị đo đa chỉ tiêu</v>
          </cell>
          <cell r="C119" t="str">
            <v>bộ</v>
          </cell>
          <cell r="D119">
            <v>250000000</v>
          </cell>
          <cell r="E119">
            <v>227272727.27272725</v>
          </cell>
          <cell r="F119">
            <v>10</v>
          </cell>
        </row>
        <row r="120">
          <cell r="B120" t="str">
            <v>Thiết bị lấy mẫu trầm tích và tời chuyên dụng</v>
          </cell>
          <cell r="C120" t="str">
            <v>bộ</v>
          </cell>
          <cell r="D120">
            <v>280000000</v>
          </cell>
          <cell r="E120">
            <v>254545454.54545453</v>
          </cell>
          <cell r="F120">
            <v>10</v>
          </cell>
        </row>
        <row r="121">
          <cell r="B121" t="str">
            <v>Thiết bị lấy mẫu động vật phù du</v>
          </cell>
          <cell r="C121" t="str">
            <v>bộ</v>
          </cell>
          <cell r="D121">
            <v>60000000</v>
          </cell>
          <cell r="E121">
            <v>54545454.545454539</v>
          </cell>
          <cell r="F121">
            <v>10</v>
          </cell>
        </row>
        <row r="122">
          <cell r="B122" t="str">
            <v>Thiết bị lấy mẫu thực vật phù du</v>
          </cell>
          <cell r="C122" t="str">
            <v>bộ</v>
          </cell>
          <cell r="D122">
            <v>80000000</v>
          </cell>
          <cell r="E122">
            <v>72727272.727272719</v>
          </cell>
          <cell r="F122">
            <v>10</v>
          </cell>
        </row>
        <row r="123">
          <cell r="B123" t="str">
            <v xml:space="preserve">Thiết bị lấy mẫu sinh vật và bộ sàng </v>
          </cell>
          <cell r="C123" t="str">
            <v>bộ</v>
          </cell>
          <cell r="D123">
            <v>75000000</v>
          </cell>
          <cell r="E123">
            <v>68181818.181818172</v>
          </cell>
          <cell r="F123">
            <v>10</v>
          </cell>
        </row>
        <row r="124">
          <cell r="B124" t="str">
            <v>Thiết bị đo pH</v>
          </cell>
          <cell r="C124" t="str">
            <v>bộ</v>
          </cell>
          <cell r="D124">
            <v>33846000</v>
          </cell>
          <cell r="E124">
            <v>30769090.909090906</v>
          </cell>
          <cell r="F124">
            <v>5</v>
          </cell>
        </row>
        <row r="125">
          <cell r="B125" t="str">
            <v>Thiết bị đo tiếng ồn tích phân</v>
          </cell>
          <cell r="C125" t="str">
            <v>bộ</v>
          </cell>
          <cell r="D125">
            <v>11970000</v>
          </cell>
          <cell r="E125">
            <v>10881818.181818182</v>
          </cell>
          <cell r="F125">
            <v>5</v>
          </cell>
        </row>
        <row r="126">
          <cell r="B126" t="str">
            <v>Thiết bị hấp tiệt trùng</v>
          </cell>
          <cell r="C126" t="str">
            <v>bộ</v>
          </cell>
          <cell r="D126">
            <v>67200000</v>
          </cell>
          <cell r="E126">
            <v>61090909.090909086</v>
          </cell>
          <cell r="F126">
            <v>5</v>
          </cell>
        </row>
        <row r="127">
          <cell r="B127" t="str">
            <v>Bộ chuẩn lưu lượng</v>
          </cell>
          <cell r="C127" t="str">
            <v>bộ</v>
          </cell>
          <cell r="D127">
            <v>31500000</v>
          </cell>
          <cell r="E127">
            <v>28636363.636363633</v>
          </cell>
          <cell r="F127">
            <v>5</v>
          </cell>
        </row>
        <row r="128">
          <cell r="B128" t="str">
            <v>Thiết bị lấy mẫu</v>
          </cell>
          <cell r="C128" t="str">
            <v>Cái</v>
          </cell>
          <cell r="D128">
            <v>50600000</v>
          </cell>
          <cell r="E128">
            <v>46000000</v>
          </cell>
          <cell r="F128">
            <v>5</v>
          </cell>
        </row>
        <row r="129">
          <cell r="B129" t="str">
            <v>Thiết bị lấy mẫu bụi</v>
          </cell>
          <cell r="C129" t="str">
            <v>bộ</v>
          </cell>
          <cell r="D129">
            <v>50000000</v>
          </cell>
          <cell r="E129">
            <v>45454545.454545453</v>
          </cell>
          <cell r="F129">
            <v>10</v>
          </cell>
        </row>
        <row r="130">
          <cell r="B130" t="str">
            <v xml:space="preserve">Thiết bị lấy mẫu khí </v>
          </cell>
          <cell r="C130" t="str">
            <v>bộ</v>
          </cell>
          <cell r="D130">
            <v>57700000</v>
          </cell>
          <cell r="E130">
            <v>52454545.454545453</v>
          </cell>
          <cell r="F130">
            <v>5</v>
          </cell>
        </row>
        <row r="131">
          <cell r="B131" t="str">
            <v>Thiết bị lấy mẫu khí thải</v>
          </cell>
          <cell r="C131" t="str">
            <v>bộ</v>
          </cell>
          <cell r="D131">
            <v>550000000</v>
          </cell>
          <cell r="E131">
            <v>499999999.99999994</v>
          </cell>
          <cell r="F131">
            <v>5</v>
          </cell>
        </row>
        <row r="132">
          <cell r="B132" t="str">
            <v>Thiết bị lấy mẫu nước</v>
          </cell>
          <cell r="C132" t="str">
            <v>bộ</v>
          </cell>
          <cell r="D132">
            <v>51450000</v>
          </cell>
          <cell r="E132">
            <v>46772727.272727266</v>
          </cell>
          <cell r="F132">
            <v>5</v>
          </cell>
        </row>
        <row r="133">
          <cell r="B133" t="str">
            <v>Thiết bị cất nước 2 lần</v>
          </cell>
          <cell r="C133" t="str">
            <v>bộ</v>
          </cell>
          <cell r="D133">
            <v>99000000</v>
          </cell>
          <cell r="E133">
            <v>90000000</v>
          </cell>
          <cell r="F133">
            <v>5</v>
          </cell>
        </row>
        <row r="134">
          <cell r="B134" t="str">
            <v>Thiết bị lọc</v>
          </cell>
          <cell r="C134" t="str">
            <v>bộ</v>
          </cell>
          <cell r="D134">
            <v>54000000</v>
          </cell>
          <cell r="E134">
            <v>49090909.090909086</v>
          </cell>
          <cell r="F134">
            <v>5</v>
          </cell>
        </row>
        <row r="135">
          <cell r="B135" t="str">
            <v>Thiết bị lọc nước siêu sạch</v>
          </cell>
          <cell r="C135" t="str">
            <v>bộ</v>
          </cell>
          <cell r="D135">
            <v>129150000</v>
          </cell>
          <cell r="E135">
            <v>117409090.90909091</v>
          </cell>
          <cell r="F135">
            <v>8</v>
          </cell>
        </row>
        <row r="136">
          <cell r="B136" t="str">
            <v>Thiết bị picnomet</v>
          </cell>
          <cell r="C136" t="str">
            <v>bộ</v>
          </cell>
          <cell r="D136">
            <v>21000000</v>
          </cell>
          <cell r="E136">
            <v>19090909.09090909</v>
          </cell>
          <cell r="F136">
            <v>5</v>
          </cell>
        </row>
        <row r="137">
          <cell r="B137" t="str">
            <v>Thiết bị phá mẫu</v>
          </cell>
          <cell r="C137" t="str">
            <v>bộ</v>
          </cell>
          <cell r="D137">
            <v>28350000</v>
          </cell>
          <cell r="E137">
            <v>25772727.27272727</v>
          </cell>
          <cell r="F137">
            <v>5</v>
          </cell>
        </row>
        <row r="138">
          <cell r="B138" t="str">
            <v>Thiết bị phá mẫu bằng vi sóng</v>
          </cell>
          <cell r="C138" t="str">
            <v>bộ</v>
          </cell>
          <cell r="D138">
            <v>317240000</v>
          </cell>
          <cell r="E138">
            <v>288400000</v>
          </cell>
          <cell r="F138">
            <v>5</v>
          </cell>
        </row>
        <row r="139">
          <cell r="B139" t="str">
            <v>Thiết bị phản ứng COD</v>
          </cell>
          <cell r="C139" t="str">
            <v>bộ</v>
          </cell>
          <cell r="D139">
            <v>55650000</v>
          </cell>
          <cell r="E139">
            <v>50590909.090909086</v>
          </cell>
          <cell r="F139">
            <v>5</v>
          </cell>
        </row>
        <row r="140">
          <cell r="B140" t="str">
            <v>Thiết bị phân tích</v>
          </cell>
          <cell r="C140" t="str">
            <v>bộ</v>
          </cell>
          <cell r="D140">
            <v>500000000</v>
          </cell>
          <cell r="E140">
            <v>454545454.5454545</v>
          </cell>
          <cell r="F140">
            <v>10</v>
          </cell>
        </row>
        <row r="141">
          <cell r="B141" t="str">
            <v>Thiết bị sàng rây</v>
          </cell>
          <cell r="C141" t="str">
            <v>bộ</v>
          </cell>
          <cell r="D141">
            <v>67200000</v>
          </cell>
          <cell r="E141">
            <v>61090909.090909086</v>
          </cell>
          <cell r="F141">
            <v>5</v>
          </cell>
        </row>
        <row r="142">
          <cell r="B142" t="str">
            <v>Thiết bị sinh khí chuẩn</v>
          </cell>
          <cell r="C142" t="str">
            <v>bộ</v>
          </cell>
          <cell r="D142">
            <v>60000000</v>
          </cell>
          <cell r="E142">
            <v>54545454.545454539</v>
          </cell>
          <cell r="F142">
            <v>5</v>
          </cell>
        </row>
        <row r="143">
          <cell r="B143" t="str">
            <v>Thiết bị sinh khí zero</v>
          </cell>
          <cell r="C143" t="str">
            <v>bộ</v>
          </cell>
          <cell r="D143">
            <v>45000000</v>
          </cell>
          <cell r="E143">
            <v>40909090.909090906</v>
          </cell>
          <cell r="F143">
            <v>5</v>
          </cell>
        </row>
        <row r="144">
          <cell r="B144" t="str">
            <v>Thiết bị Sóng ký</v>
          </cell>
          <cell r="C144" t="str">
            <v>bộ</v>
          </cell>
          <cell r="D144">
            <v>120000</v>
          </cell>
          <cell r="E144">
            <v>109090.90909090909</v>
          </cell>
          <cell r="F144">
            <v>5</v>
          </cell>
        </row>
        <row r="145">
          <cell r="B145" t="str">
            <v>Thước dây</v>
          </cell>
          <cell r="C145" t="str">
            <v>cái</v>
          </cell>
          <cell r="D145">
            <v>533500</v>
          </cell>
          <cell r="E145">
            <v>484999.99999999994</v>
          </cell>
          <cell r="F145">
            <v>5</v>
          </cell>
        </row>
        <row r="146">
          <cell r="B146" t="str">
            <v>U20XD</v>
          </cell>
          <cell r="C146" t="str">
            <v>bộ</v>
          </cell>
          <cell r="D146">
            <v>190000000</v>
          </cell>
          <cell r="E146">
            <v>172727272.72727272</v>
          </cell>
          <cell r="F146">
            <v>5</v>
          </cell>
        </row>
        <row r="147">
          <cell r="B147" t="str">
            <v>YSI 6820</v>
          </cell>
          <cell r="C147" t="str">
            <v>bộ</v>
          </cell>
          <cell r="D147">
            <v>19960000</v>
          </cell>
          <cell r="E147">
            <v>18145454.545454543</v>
          </cell>
          <cell r="F147">
            <v>5</v>
          </cell>
        </row>
        <row r="148">
          <cell r="B148" t="str">
            <v>Máy sắc ký ion</v>
          </cell>
          <cell r="C148" t="str">
            <v>bộ</v>
          </cell>
          <cell r="D148">
            <v>865000000</v>
          </cell>
          <cell r="E148">
            <v>786363636.36363626</v>
          </cell>
          <cell r="F148">
            <v>10</v>
          </cell>
        </row>
        <row r="149">
          <cell r="B149" t="str">
            <v>Hệ thống ICP</v>
          </cell>
          <cell r="C149" t="str">
            <v>bộ</v>
          </cell>
          <cell r="D149">
            <v>5580000000</v>
          </cell>
          <cell r="E149">
            <v>5072727272.727272</v>
          </cell>
          <cell r="F149">
            <v>10</v>
          </cell>
        </row>
        <row r="150">
          <cell r="B150" t="str">
            <v>Thiết bị đo chênh áp</v>
          </cell>
          <cell r="C150" t="str">
            <v>Bộ</v>
          </cell>
          <cell r="D150">
            <v>16923000</v>
          </cell>
          <cell r="E150">
            <v>15384545.454545453</v>
          </cell>
          <cell r="F150">
            <v>5</v>
          </cell>
        </row>
        <row r="151">
          <cell r="B151" t="str">
            <v>Thiết bị điều khiển lấy mẫu bụi</v>
          </cell>
          <cell r="C151" t="str">
            <v>bộ</v>
          </cell>
          <cell r="D151">
            <v>300000000</v>
          </cell>
          <cell r="E151">
            <v>272727272.72727269</v>
          </cell>
          <cell r="F151">
            <v>10</v>
          </cell>
        </row>
        <row r="152">
          <cell r="B152" t="str">
            <v>Thiết bị lấy mẫu khí Oxy</v>
          </cell>
          <cell r="C152" t="str">
            <v>Bộ</v>
          </cell>
          <cell r="D152">
            <v>55000000</v>
          </cell>
          <cell r="E152">
            <v>49999999.999999993</v>
          </cell>
          <cell r="F152">
            <v>5</v>
          </cell>
        </row>
        <row r="153">
          <cell r="B153" t="str">
            <v>Thiết bị lấy mẫu khí CO</v>
          </cell>
          <cell r="C153" t="str">
            <v>Bộ</v>
          </cell>
          <cell r="D153">
            <v>40500000</v>
          </cell>
          <cell r="E153">
            <v>36818181.818181813</v>
          </cell>
          <cell r="F153">
            <v>5</v>
          </cell>
        </row>
        <row r="154">
          <cell r="B154" t="str">
            <v>Thiết bị lấy mẫu khí CO2</v>
          </cell>
          <cell r="C154" t="str">
            <v>Bộ</v>
          </cell>
          <cell r="D154">
            <v>50000000</v>
          </cell>
          <cell r="E154">
            <v>45454545.454545453</v>
          </cell>
          <cell r="F154">
            <v>5</v>
          </cell>
        </row>
        <row r="155">
          <cell r="B155" t="str">
            <v>Thiết bị lấy mẫu khí NO</v>
          </cell>
          <cell r="C155" t="str">
            <v>Bộ</v>
          </cell>
          <cell r="D155">
            <v>52000000</v>
          </cell>
          <cell r="E155">
            <v>47272727.272727266</v>
          </cell>
          <cell r="F155">
            <v>5</v>
          </cell>
        </row>
        <row r="156">
          <cell r="B156" t="str">
            <v>Thiết bị lấy mẫu khí NO2</v>
          </cell>
          <cell r="C156" t="str">
            <v>Bộ</v>
          </cell>
          <cell r="D156">
            <v>48000000</v>
          </cell>
          <cell r="E156">
            <v>43636363.636363633</v>
          </cell>
          <cell r="F156">
            <v>5</v>
          </cell>
        </row>
        <row r="157">
          <cell r="B157" t="str">
            <v>Thiết bị lấy mẫu khí NOx</v>
          </cell>
          <cell r="C157" t="str">
            <v>Bộ</v>
          </cell>
          <cell r="D157">
            <v>56500000</v>
          </cell>
          <cell r="E157">
            <v>51363636.36363636</v>
          </cell>
          <cell r="F157">
            <v>5</v>
          </cell>
        </row>
        <row r="158">
          <cell r="B158" t="str">
            <v xml:space="preserve">Thiết bị lấy mẫu khí SO2 </v>
          </cell>
          <cell r="C158" t="str">
            <v>Bộ</v>
          </cell>
          <cell r="D158">
            <v>40500000</v>
          </cell>
          <cell r="E158">
            <v>36818181.818181813</v>
          </cell>
          <cell r="F158">
            <v>5</v>
          </cell>
        </row>
        <row r="159">
          <cell r="B159" t="str">
            <v xml:space="preserve">Cân phân tích </v>
          </cell>
          <cell r="C159" t="str">
            <v>Cái</v>
          </cell>
          <cell r="D159">
            <v>30000000</v>
          </cell>
          <cell r="E159">
            <v>27272727.27272727</v>
          </cell>
          <cell r="F159">
            <v>8</v>
          </cell>
        </row>
        <row r="160">
          <cell r="B160" t="str">
            <v>Máy vi tính</v>
          </cell>
          <cell r="C160" t="str">
            <v>bộ</v>
          </cell>
          <cell r="D160">
            <v>12000000</v>
          </cell>
          <cell r="E160">
            <v>10909090.909090908</v>
          </cell>
          <cell r="F160">
            <v>5</v>
          </cell>
        </row>
        <row r="161">
          <cell r="B161" t="str">
            <v>Máy lấy mẫu TESTO 350XL hoặc TESTO 512 (giá TESTO 350XL)</v>
          </cell>
          <cell r="C161" t="str">
            <v>Bộ</v>
          </cell>
          <cell r="D161">
            <v>447887261.09600002</v>
          </cell>
          <cell r="E161">
            <v>407170237.35999995</v>
          </cell>
          <cell r="F161">
            <v>10</v>
          </cell>
        </row>
        <row r="162">
          <cell r="B162" t="str">
            <v xml:space="preserve">Nồi nấu có bộ phận lắc </v>
          </cell>
          <cell r="C162" t="str">
            <v>Bộ</v>
          </cell>
          <cell r="D162">
            <v>50342000</v>
          </cell>
          <cell r="E162">
            <v>45765454.545454539</v>
          </cell>
          <cell r="F162">
            <v>10</v>
          </cell>
        </row>
        <row r="163">
          <cell r="B163" t="str">
            <v>Thiết bị đo độ rung gia tốc</v>
          </cell>
          <cell r="C163" t="str">
            <v>Bộ</v>
          </cell>
          <cell r="D163">
            <v>20000000</v>
          </cell>
          <cell r="E163">
            <v>18181818.18181818</v>
          </cell>
          <cell r="F163">
            <v>5</v>
          </cell>
        </row>
        <row r="164">
          <cell r="B164" t="str">
            <v xml:space="preserve">Thiết bị hút mẫu </v>
          </cell>
          <cell r="C164" t="str">
            <v>Bộ</v>
          </cell>
          <cell r="D164">
            <v>20000000</v>
          </cell>
          <cell r="E164">
            <v>18181818.18181818</v>
          </cell>
          <cell r="F164">
            <v>5</v>
          </cell>
        </row>
        <row r="165">
          <cell r="B165" t="str">
            <v>Thiết bị lấy mẫu</v>
          </cell>
          <cell r="C165" t="str">
            <v>Bộ</v>
          </cell>
          <cell r="D165">
            <v>250000000</v>
          </cell>
          <cell r="E165">
            <v>227272727.27272725</v>
          </cell>
          <cell r="F165">
            <v>10</v>
          </cell>
        </row>
        <row r="166">
          <cell r="B166" t="str">
            <v>Thiết bị điều khiển lấy mẫu</v>
          </cell>
          <cell r="C166" t="str">
            <v>Bộ</v>
          </cell>
          <cell r="D166">
            <v>250000000</v>
          </cell>
          <cell r="E166">
            <v>227272727.27272725</v>
          </cell>
          <cell r="F166">
            <v>10</v>
          </cell>
        </row>
        <row r="167">
          <cell r="B167" t="str">
            <v xml:space="preserve">Thiết bị đo lưu lượng khí </v>
          </cell>
          <cell r="C167" t="str">
            <v>Bộ</v>
          </cell>
          <cell r="D167">
            <v>25000000</v>
          </cell>
          <cell r="E167">
            <v>22727272.727272727</v>
          </cell>
          <cell r="F167">
            <v>5</v>
          </cell>
        </row>
        <row r="168">
          <cell r="B168" t="str">
            <v>Máy ảnh kỹ thuật số</v>
          </cell>
          <cell r="C168" t="str">
            <v>cái</v>
          </cell>
          <cell r="D168">
            <v>3150000</v>
          </cell>
          <cell r="E168">
            <v>2863636.3636363633</v>
          </cell>
          <cell r="F168">
            <v>5</v>
          </cell>
        </row>
        <row r="169">
          <cell r="B169" t="str">
            <v>Modul phân tích khí CO</v>
          </cell>
          <cell r="C169" t="str">
            <v>cái</v>
          </cell>
          <cell r="D169">
            <v>350000000</v>
          </cell>
          <cell r="E169">
            <v>318181818.18181813</v>
          </cell>
          <cell r="F169">
            <v>5</v>
          </cell>
        </row>
        <row r="170">
          <cell r="B170" t="str">
            <v>Máy tạo đa khí chuẩn</v>
          </cell>
          <cell r="C170" t="str">
            <v>cái</v>
          </cell>
          <cell r="D170">
            <v>90000000</v>
          </cell>
          <cell r="E170">
            <v>81818181.818181813</v>
          </cell>
          <cell r="F170">
            <v>5</v>
          </cell>
        </row>
        <row r="171">
          <cell r="B171" t="str">
            <v>Bộ tạo khí 0 (zezo)</v>
          </cell>
          <cell r="C171" t="str">
            <v>bộ</v>
          </cell>
          <cell r="D171">
            <v>45000000</v>
          </cell>
          <cell r="E171">
            <v>40909090.909090906</v>
          </cell>
          <cell r="F171">
            <v>5</v>
          </cell>
        </row>
        <row r="172">
          <cell r="B172" t="str">
            <v>Bộ lưu giữ số liệu (Data logger)</v>
          </cell>
          <cell r="C172" t="str">
            <v>bộ</v>
          </cell>
          <cell r="D172">
            <v>250000000</v>
          </cell>
          <cell r="E172">
            <v>227272727.27272725</v>
          </cell>
          <cell r="F172">
            <v>5</v>
          </cell>
        </row>
        <row r="173">
          <cell r="B173" t="str">
            <v xml:space="preserve">Máy phát điện 15 KVA 220V </v>
          </cell>
          <cell r="C173" t="str">
            <v>cái</v>
          </cell>
          <cell r="D173">
            <v>125000000</v>
          </cell>
          <cell r="E173">
            <v>113636363.63636363</v>
          </cell>
          <cell r="F173">
            <v>5</v>
          </cell>
        </row>
        <row r="174">
          <cell r="B174" t="str">
            <v>Bơm hút mẫu</v>
          </cell>
          <cell r="D174">
            <v>94943000</v>
          </cell>
          <cell r="E174">
            <v>86311818.181818172</v>
          </cell>
          <cell r="F174">
            <v>5</v>
          </cell>
        </row>
        <row r="175">
          <cell r="B175" t="str">
            <v>Đường ống dẫn lấy mẫu khí</v>
          </cell>
          <cell r="C175" t="str">
            <v>bôộ</v>
          </cell>
          <cell r="D175">
            <v>60000000</v>
          </cell>
          <cell r="E175">
            <v>54545454.545454539</v>
          </cell>
          <cell r="F175">
            <v>5</v>
          </cell>
        </row>
        <row r="176">
          <cell r="B176" t="str">
            <v>Đường ống dẫn lấy mẫu nước</v>
          </cell>
          <cell r="C176" t="str">
            <v>bôộ</v>
          </cell>
          <cell r="D176">
            <v>60000000</v>
          </cell>
          <cell r="E176">
            <v>54545454.545454539</v>
          </cell>
          <cell r="F176">
            <v>5</v>
          </cell>
        </row>
        <row r="177">
          <cell r="B177" t="str">
            <v>Hệ thống báo động chống trộm</v>
          </cell>
          <cell r="C177" t="str">
            <v>bộ</v>
          </cell>
          <cell r="D177">
            <v>15000000</v>
          </cell>
          <cell r="E177">
            <v>13636363.636363635</v>
          </cell>
          <cell r="F177">
            <v>2</v>
          </cell>
        </row>
        <row r="178">
          <cell r="B178" t="str">
            <v>Hệ thống cảnh báo cháy</v>
          </cell>
          <cell r="C178" t="str">
            <v>bộ</v>
          </cell>
          <cell r="D178">
            <v>18500000</v>
          </cell>
          <cell r="E178">
            <v>16818181.818181816</v>
          </cell>
          <cell r="F178">
            <v>5</v>
          </cell>
        </row>
        <row r="179">
          <cell r="B179" t="str">
            <v>Hệ thống chống sét theo đường điện cấp cho trạm</v>
          </cell>
          <cell r="C179" t="str">
            <v>bộ</v>
          </cell>
          <cell r="D179">
            <v>20000000</v>
          </cell>
          <cell r="E179">
            <v>18181818.18181818</v>
          </cell>
          <cell r="F179">
            <v>5</v>
          </cell>
        </row>
        <row r="180">
          <cell r="B180" t="str">
            <v>Hệ thống chống sét theo đường truyền số liệu</v>
          </cell>
          <cell r="D180">
            <v>20000000</v>
          </cell>
          <cell r="E180">
            <v>18181818.18181818</v>
          </cell>
          <cell r="F180">
            <v>5</v>
          </cell>
        </row>
        <row r="181">
          <cell r="B181" t="str">
            <v>Máy in</v>
          </cell>
          <cell r="C181" t="str">
            <v>bộ</v>
          </cell>
          <cell r="D181">
            <v>5000000</v>
          </cell>
          <cell r="E181">
            <v>4545454.5454545449</v>
          </cell>
          <cell r="F181">
            <v>5</v>
          </cell>
        </row>
        <row r="182">
          <cell r="B182" t="str">
            <v>Bộ chuyển đổi dữ liệu</v>
          </cell>
          <cell r="D182">
            <v>250000000</v>
          </cell>
          <cell r="E182">
            <v>227272727.27272725</v>
          </cell>
          <cell r="F182">
            <v>5</v>
          </cell>
        </row>
        <row r="183">
          <cell r="B183" t="str">
            <v>Sensor đo nhiệt độ/độ ẩm</v>
          </cell>
          <cell r="D183">
            <v>150000000</v>
          </cell>
          <cell r="E183">
            <v>136363636.36363634</v>
          </cell>
          <cell r="F183">
            <v>5</v>
          </cell>
        </row>
        <row r="184">
          <cell r="B184" t="str">
            <v>Bộ thu thập, xử lý và lưu giữ số liệu (Data Logger)</v>
          </cell>
          <cell r="D184">
            <v>65000000</v>
          </cell>
          <cell r="E184">
            <v>59090909.090909086</v>
          </cell>
          <cell r="F184">
            <v>5</v>
          </cell>
        </row>
        <row r="185">
          <cell r="B185" t="str">
            <v>Bộ truyền dữ liệu qua modem điện thoại hoặc Internet/mạng GSM/ qua vệ tinh</v>
          </cell>
          <cell r="D185">
            <v>150000000</v>
          </cell>
          <cell r="E185">
            <v>136363636.36363634</v>
          </cell>
          <cell r="F185">
            <v>5</v>
          </cell>
        </row>
        <row r="186">
          <cell r="B186" t="str">
            <v>Cột treo sensor</v>
          </cell>
          <cell r="D186">
            <v>5000000</v>
          </cell>
          <cell r="E186">
            <v>4545454.5454545449</v>
          </cell>
          <cell r="F186">
            <v>3</v>
          </cell>
        </row>
        <row r="187">
          <cell r="B187" t="str">
            <v>Thiết bị đo tốc độ gió, hướng gió</v>
          </cell>
          <cell r="D187">
            <v>150000000</v>
          </cell>
          <cell r="E187">
            <v>136363636.36363634</v>
          </cell>
          <cell r="F187">
            <v>5</v>
          </cell>
        </row>
        <row r="188">
          <cell r="B188" t="str">
            <v>Sensor đo đọ ẩm, áp suất</v>
          </cell>
          <cell r="D188">
            <v>150000000</v>
          </cell>
          <cell r="E188">
            <v>136363636.36363634</v>
          </cell>
          <cell r="F188">
            <v>5</v>
          </cell>
        </row>
        <row r="189">
          <cell r="B189" t="str">
            <v>Thiết bị đo bức xạ mặt trời</v>
          </cell>
          <cell r="D189">
            <v>150000000</v>
          </cell>
          <cell r="E189">
            <v>136363636.36363634</v>
          </cell>
          <cell r="F189">
            <v>5</v>
          </cell>
        </row>
        <row r="190">
          <cell r="B190" t="str">
            <v>Bộ máy chủ lưu trữ số liệu</v>
          </cell>
          <cell r="D190">
            <v>165000000</v>
          </cell>
          <cell r="E190">
            <v>150000000</v>
          </cell>
          <cell r="F190">
            <v>5</v>
          </cell>
        </row>
        <row r="191">
          <cell r="B191" t="str">
            <v>Bộ cáp nối tín hiệu các modul</v>
          </cell>
          <cell r="D191">
            <v>65000000</v>
          </cell>
          <cell r="E191">
            <v>59090909.090909086</v>
          </cell>
          <cell r="F191">
            <v>5</v>
          </cell>
        </row>
        <row r="192">
          <cell r="B192" t="str">
            <v>Máy đo bụi lơ lửng PM10 và TSP</v>
          </cell>
          <cell r="D192">
            <v>150000000</v>
          </cell>
          <cell r="E192">
            <v>136363636.36363634</v>
          </cell>
          <cell r="F192">
            <v>5</v>
          </cell>
        </row>
        <row r="193">
          <cell r="B193" t="str">
            <v>Modul phân tích NO-NO2 - NOx</v>
          </cell>
          <cell r="D193">
            <v>150000000</v>
          </cell>
          <cell r="E193">
            <v>136363636.36363634</v>
          </cell>
          <cell r="F193">
            <v>5</v>
          </cell>
        </row>
        <row r="194">
          <cell r="B194" t="str">
            <v>Modul phân tích khí SO2</v>
          </cell>
          <cell r="D194">
            <v>150000000</v>
          </cell>
          <cell r="E194">
            <v>136363636.36363634</v>
          </cell>
          <cell r="F194">
            <v>5</v>
          </cell>
        </row>
        <row r="195">
          <cell r="B195" t="str">
            <v>Modul phân tích khí O3</v>
          </cell>
          <cell r="D195">
            <v>150000000</v>
          </cell>
          <cell r="E195">
            <v>136363636.36363634</v>
          </cell>
          <cell r="F195">
            <v>5</v>
          </cell>
        </row>
        <row r="196">
          <cell r="B196" t="str">
            <v>Modul phân tích khí THC</v>
          </cell>
          <cell r="D196">
            <v>150000000</v>
          </cell>
          <cell r="E196">
            <v>136363636.36363634</v>
          </cell>
          <cell r="F196">
            <v>5</v>
          </cell>
        </row>
        <row r="197">
          <cell r="B197" t="str">
            <v>Modul phân tích khí BTX</v>
          </cell>
          <cell r="D197">
            <v>150000000</v>
          </cell>
          <cell r="E197">
            <v>136363636.36363634</v>
          </cell>
          <cell r="F197">
            <v>5</v>
          </cell>
        </row>
        <row r="198">
          <cell r="B198" t="str">
            <v>Thiết bị đo nhiệt độ/ độ ẩm</v>
          </cell>
          <cell r="D198">
            <v>150000000</v>
          </cell>
          <cell r="E198">
            <v>136363636.36363634</v>
          </cell>
          <cell r="F198">
            <v>5</v>
          </cell>
        </row>
        <row r="199">
          <cell r="B199" t="str">
            <v>Thiết bị đo  tốc độ gió</v>
          </cell>
          <cell r="D199">
            <v>150000000</v>
          </cell>
          <cell r="E199">
            <v>136363636.36363634</v>
          </cell>
          <cell r="F199">
            <v>5</v>
          </cell>
        </row>
        <row r="200">
          <cell r="B200" t="str">
            <v>Thiết bị đo hướng gió</v>
          </cell>
          <cell r="D200">
            <v>150000000</v>
          </cell>
          <cell r="E200">
            <v>136363636.36363634</v>
          </cell>
          <cell r="F200">
            <v>5</v>
          </cell>
        </row>
        <row r="201">
          <cell r="B201" t="str">
            <v>Thiết bị đo áp suất khí quyển</v>
          </cell>
          <cell r="D201">
            <v>150000000</v>
          </cell>
          <cell r="E201">
            <v>136363636.36363634</v>
          </cell>
          <cell r="F201">
            <v>5</v>
          </cell>
        </row>
        <row r="202">
          <cell r="B202" t="str">
            <v xml:space="preserve">Modul phân tích khí O­3 </v>
          </cell>
          <cell r="D202">
            <v>150000000</v>
          </cell>
          <cell r="E202">
            <v>136363636.36363634</v>
          </cell>
          <cell r="F202">
            <v>5</v>
          </cell>
        </row>
        <row r="203">
          <cell r="B203" t="str">
            <v>Modul phân tích khí CxHy</v>
          </cell>
          <cell r="D203">
            <v>150000000</v>
          </cell>
          <cell r="E203">
            <v>136363636.36363634</v>
          </cell>
          <cell r="F203">
            <v>5</v>
          </cell>
        </row>
        <row r="204">
          <cell r="B204" t="str">
            <v>Hệ thống lấy mẫu nước</v>
          </cell>
          <cell r="D204">
            <v>65000000</v>
          </cell>
          <cell r="E204">
            <v>59090909.090909086</v>
          </cell>
          <cell r="F204">
            <v>5</v>
          </cell>
        </row>
        <row r="205">
          <cell r="B205" t="str">
            <v>Bộ pin mặt trời</v>
          </cell>
          <cell r="D205">
            <v>6000000</v>
          </cell>
          <cell r="E205">
            <v>5454545.4545454541</v>
          </cell>
          <cell r="F205">
            <v>1</v>
          </cell>
        </row>
        <row r="206">
          <cell r="B206" t="str">
            <v>Bộ xạc pin dự phòng</v>
          </cell>
          <cell r="D206">
            <v>1800000</v>
          </cell>
          <cell r="E206">
            <v>1636363.6363636362</v>
          </cell>
        </row>
        <row r="207">
          <cell r="B207" t="str">
            <v>Thuyền máy (ca nô)</v>
          </cell>
          <cell r="D207">
            <v>150000000</v>
          </cell>
          <cell r="E207">
            <v>136363636.36363634</v>
          </cell>
        </row>
        <row r="208">
          <cell r="B208" t="str">
            <v>Thiết bị lấy mẫu bui (ống probe)</v>
          </cell>
          <cell r="D208">
            <v>150000000</v>
          </cell>
          <cell r="E208">
            <v>136363636.36363634</v>
          </cell>
        </row>
        <row r="209">
          <cell r="B209" t="str">
            <v>Thiết bị hiệu chuẩn lưu lượng</v>
          </cell>
          <cell r="D209">
            <v>31500000</v>
          </cell>
          <cell r="E209">
            <v>28636363.636363633</v>
          </cell>
        </row>
        <row r="210">
          <cell r="B210" t="str">
            <v>Máy tính xách tay</v>
          </cell>
          <cell r="D210">
            <v>20000000</v>
          </cell>
          <cell r="E210">
            <v>18181818.18181818</v>
          </cell>
        </row>
        <row r="211">
          <cell r="B211" t="str">
            <v>Bộ đàm</v>
          </cell>
          <cell r="D211">
            <v>10000000</v>
          </cell>
          <cell r="E211">
            <v>9090909.0909090899</v>
          </cell>
        </row>
        <row r="212">
          <cell r="B212" t="str">
            <v>Thiết bị đo nhanh IMR</v>
          </cell>
          <cell r="D212">
            <v>300000000</v>
          </cell>
          <cell r="E212">
            <v>272727272.72727269</v>
          </cell>
        </row>
        <row r="213">
          <cell r="B213" t="str">
            <v>Thiết bị sắc ký khí độ phân giải cao DFS</v>
          </cell>
          <cell r="D213">
            <v>16329087000</v>
          </cell>
          <cell r="E213">
            <v>14844624545.454544</v>
          </cell>
        </row>
        <row r="214">
          <cell r="B214" t="str">
            <v>Chiết Soxhlet B811, Buchi</v>
          </cell>
          <cell r="D214">
            <v>1113438000</v>
          </cell>
          <cell r="E214">
            <v>1012216363.6363635</v>
          </cell>
        </row>
        <row r="215">
          <cell r="B215" t="str">
            <v>Bồn siêu âm WUC.DH10H, DaiHan</v>
          </cell>
          <cell r="C215" t="str">
            <v>cái</v>
          </cell>
          <cell r="D215">
            <v>40000000</v>
          </cell>
          <cell r="E215">
            <v>36363636.36363636</v>
          </cell>
        </row>
        <row r="216">
          <cell r="B216" t="str">
            <v>Máy rung Vortex MS3, IKA</v>
          </cell>
          <cell r="D216">
            <v>15000000</v>
          </cell>
          <cell r="E216">
            <v>13636363.636363635</v>
          </cell>
        </row>
        <row r="217">
          <cell r="B217" t="str">
            <v>Tủ hút, Esco basic 47</v>
          </cell>
          <cell r="D217">
            <v>15000000</v>
          </cell>
          <cell r="E217">
            <v>13636363.636363635</v>
          </cell>
        </row>
        <row r="218">
          <cell r="B218" t="str">
            <v>Tủ lạnh 0-8oC bảo quản chất chuẩn, mẫu, Panasonic, 302SS</v>
          </cell>
          <cell r="D218">
            <v>179000000</v>
          </cell>
          <cell r="E218">
            <v>162727272.72727272</v>
          </cell>
        </row>
        <row r="219">
          <cell r="B219" t="str">
            <v>Máy hút ẩm NAB-20DEN3, Nagakawa (03 chiếc)</v>
          </cell>
          <cell r="D219">
            <v>12000000</v>
          </cell>
          <cell r="E219">
            <v>10909090.909090908</v>
          </cell>
        </row>
        <row r="220">
          <cell r="B220" t="str">
            <v>Máy phát điện 1 pha</v>
          </cell>
          <cell r="D220">
            <v>138600000</v>
          </cell>
          <cell r="E220">
            <v>125999999.99999999</v>
          </cell>
        </row>
        <row r="221">
          <cell r="B221" t="str">
            <v>Máy phát điện 3 pha</v>
          </cell>
          <cell r="D221">
            <v>460339000</v>
          </cell>
          <cell r="E221">
            <v>418489999.99999994</v>
          </cell>
        </row>
        <row r="222">
          <cell r="B222" t="str">
            <v>Máy tính để bàn xử lý số liệu, xuất lưu trữ số liệu</v>
          </cell>
          <cell r="D222">
            <v>11623000</v>
          </cell>
          <cell r="E222">
            <v>10566363.636363635</v>
          </cell>
        </row>
        <row r="223">
          <cell r="B223" t="str">
            <v>Máy in xuất kết quả</v>
          </cell>
          <cell r="D223">
            <v>9350000</v>
          </cell>
          <cell r="E223">
            <v>8500000</v>
          </cell>
        </row>
        <row r="224">
          <cell r="B224" t="str">
            <v>Tủ đông lạnh đến -20oC bảo quản, lưu mẫu thời gian dài, SANAKY VH-565HY</v>
          </cell>
          <cell r="D224">
            <v>10000000</v>
          </cell>
          <cell r="E224">
            <v>9090909.0909090899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tabColor rgb="FFFF0000"/>
  </sheetPr>
  <dimension ref="A1:C47"/>
  <sheetViews>
    <sheetView zoomScale="75" zoomScaleNormal="70" workbookViewId="0">
      <pane ySplit="3" topLeftCell="A25" activePane="bottomLeft" state="frozen"/>
      <selection pane="bottomLeft" activeCell="J28" sqref="J28"/>
    </sheetView>
  </sheetViews>
  <sheetFormatPr defaultRowHeight="17.100000000000001" customHeight="1"/>
  <cols>
    <col min="1" max="1" width="12" style="54" customWidth="1"/>
    <col min="2" max="2" width="45" style="158" customWidth="1"/>
    <col min="3" max="3" width="40.28515625" style="159" customWidth="1"/>
    <col min="4" max="256" width="9.140625" style="50"/>
    <col min="257" max="257" width="12" style="50" customWidth="1"/>
    <col min="258" max="258" width="58.85546875" style="50" customWidth="1"/>
    <col min="259" max="259" width="30.7109375" style="50" customWidth="1"/>
    <col min="260" max="512" width="9.140625" style="50"/>
    <col min="513" max="513" width="12" style="50" customWidth="1"/>
    <col min="514" max="514" width="58.85546875" style="50" customWidth="1"/>
    <col min="515" max="515" width="30.7109375" style="50" customWidth="1"/>
    <col min="516" max="768" width="9.140625" style="50"/>
    <col min="769" max="769" width="12" style="50" customWidth="1"/>
    <col min="770" max="770" width="58.85546875" style="50" customWidth="1"/>
    <col min="771" max="771" width="30.7109375" style="50" customWidth="1"/>
    <col min="772" max="1024" width="9.140625" style="50"/>
    <col min="1025" max="1025" width="12" style="50" customWidth="1"/>
    <col min="1026" max="1026" width="58.85546875" style="50" customWidth="1"/>
    <col min="1027" max="1027" width="30.7109375" style="50" customWidth="1"/>
    <col min="1028" max="1280" width="9.140625" style="50"/>
    <col min="1281" max="1281" width="12" style="50" customWidth="1"/>
    <col min="1282" max="1282" width="58.85546875" style="50" customWidth="1"/>
    <col min="1283" max="1283" width="30.7109375" style="50" customWidth="1"/>
    <col min="1284" max="1536" width="9.140625" style="50"/>
    <col min="1537" max="1537" width="12" style="50" customWidth="1"/>
    <col min="1538" max="1538" width="58.85546875" style="50" customWidth="1"/>
    <col min="1539" max="1539" width="30.7109375" style="50" customWidth="1"/>
    <col min="1540" max="1792" width="9.140625" style="50"/>
    <col min="1793" max="1793" width="12" style="50" customWidth="1"/>
    <col min="1794" max="1794" width="58.85546875" style="50" customWidth="1"/>
    <col min="1795" max="1795" width="30.7109375" style="50" customWidth="1"/>
    <col min="1796" max="2048" width="9.140625" style="50"/>
    <col min="2049" max="2049" width="12" style="50" customWidth="1"/>
    <col min="2050" max="2050" width="58.85546875" style="50" customWidth="1"/>
    <col min="2051" max="2051" width="30.7109375" style="50" customWidth="1"/>
    <col min="2052" max="2304" width="9.140625" style="50"/>
    <col min="2305" max="2305" width="12" style="50" customWidth="1"/>
    <col min="2306" max="2306" width="58.85546875" style="50" customWidth="1"/>
    <col min="2307" max="2307" width="30.7109375" style="50" customWidth="1"/>
    <col min="2308" max="2560" width="9.140625" style="50"/>
    <col min="2561" max="2561" width="12" style="50" customWidth="1"/>
    <col min="2562" max="2562" width="58.85546875" style="50" customWidth="1"/>
    <col min="2563" max="2563" width="30.7109375" style="50" customWidth="1"/>
    <col min="2564" max="2816" width="9.140625" style="50"/>
    <col min="2817" max="2817" width="12" style="50" customWidth="1"/>
    <col min="2818" max="2818" width="58.85546875" style="50" customWidth="1"/>
    <col min="2819" max="2819" width="30.7109375" style="50" customWidth="1"/>
    <col min="2820" max="3072" width="9.140625" style="50"/>
    <col min="3073" max="3073" width="12" style="50" customWidth="1"/>
    <col min="3074" max="3074" width="58.85546875" style="50" customWidth="1"/>
    <col min="3075" max="3075" width="30.7109375" style="50" customWidth="1"/>
    <col min="3076" max="3328" width="9.140625" style="50"/>
    <col min="3329" max="3329" width="12" style="50" customWidth="1"/>
    <col min="3330" max="3330" width="58.85546875" style="50" customWidth="1"/>
    <col min="3331" max="3331" width="30.7109375" style="50" customWidth="1"/>
    <col min="3332" max="3584" width="9.140625" style="50"/>
    <col min="3585" max="3585" width="12" style="50" customWidth="1"/>
    <col min="3586" max="3586" width="58.85546875" style="50" customWidth="1"/>
    <col min="3587" max="3587" width="30.7109375" style="50" customWidth="1"/>
    <col min="3588" max="3840" width="9.140625" style="50"/>
    <col min="3841" max="3841" width="12" style="50" customWidth="1"/>
    <col min="3842" max="3842" width="58.85546875" style="50" customWidth="1"/>
    <col min="3843" max="3843" width="30.7109375" style="50" customWidth="1"/>
    <col min="3844" max="4096" width="9.140625" style="50"/>
    <col min="4097" max="4097" width="12" style="50" customWidth="1"/>
    <col min="4098" max="4098" width="58.85546875" style="50" customWidth="1"/>
    <col min="4099" max="4099" width="30.7109375" style="50" customWidth="1"/>
    <col min="4100" max="4352" width="9.140625" style="50"/>
    <col min="4353" max="4353" width="12" style="50" customWidth="1"/>
    <col min="4354" max="4354" width="58.85546875" style="50" customWidth="1"/>
    <col min="4355" max="4355" width="30.7109375" style="50" customWidth="1"/>
    <col min="4356" max="4608" width="9.140625" style="50"/>
    <col min="4609" max="4609" width="12" style="50" customWidth="1"/>
    <col min="4610" max="4610" width="58.85546875" style="50" customWidth="1"/>
    <col min="4611" max="4611" width="30.7109375" style="50" customWidth="1"/>
    <col min="4612" max="4864" width="9.140625" style="50"/>
    <col min="4865" max="4865" width="12" style="50" customWidth="1"/>
    <col min="4866" max="4866" width="58.85546875" style="50" customWidth="1"/>
    <col min="4867" max="4867" width="30.7109375" style="50" customWidth="1"/>
    <col min="4868" max="5120" width="9.140625" style="50"/>
    <col min="5121" max="5121" width="12" style="50" customWidth="1"/>
    <col min="5122" max="5122" width="58.85546875" style="50" customWidth="1"/>
    <col min="5123" max="5123" width="30.7109375" style="50" customWidth="1"/>
    <col min="5124" max="5376" width="9.140625" style="50"/>
    <col min="5377" max="5377" width="12" style="50" customWidth="1"/>
    <col min="5378" max="5378" width="58.85546875" style="50" customWidth="1"/>
    <col min="5379" max="5379" width="30.7109375" style="50" customWidth="1"/>
    <col min="5380" max="5632" width="9.140625" style="50"/>
    <col min="5633" max="5633" width="12" style="50" customWidth="1"/>
    <col min="5634" max="5634" width="58.85546875" style="50" customWidth="1"/>
    <col min="5635" max="5635" width="30.7109375" style="50" customWidth="1"/>
    <col min="5636" max="5888" width="9.140625" style="50"/>
    <col min="5889" max="5889" width="12" style="50" customWidth="1"/>
    <col min="5890" max="5890" width="58.85546875" style="50" customWidth="1"/>
    <col min="5891" max="5891" width="30.7109375" style="50" customWidth="1"/>
    <col min="5892" max="6144" width="9.140625" style="50"/>
    <col min="6145" max="6145" width="12" style="50" customWidth="1"/>
    <col min="6146" max="6146" width="58.85546875" style="50" customWidth="1"/>
    <col min="6147" max="6147" width="30.7109375" style="50" customWidth="1"/>
    <col min="6148" max="6400" width="9.140625" style="50"/>
    <col min="6401" max="6401" width="12" style="50" customWidth="1"/>
    <col min="6402" max="6402" width="58.85546875" style="50" customWidth="1"/>
    <col min="6403" max="6403" width="30.7109375" style="50" customWidth="1"/>
    <col min="6404" max="6656" width="9.140625" style="50"/>
    <col min="6657" max="6657" width="12" style="50" customWidth="1"/>
    <col min="6658" max="6658" width="58.85546875" style="50" customWidth="1"/>
    <col min="6659" max="6659" width="30.7109375" style="50" customWidth="1"/>
    <col min="6660" max="6912" width="9.140625" style="50"/>
    <col min="6913" max="6913" width="12" style="50" customWidth="1"/>
    <col min="6914" max="6914" width="58.85546875" style="50" customWidth="1"/>
    <col min="6915" max="6915" width="30.7109375" style="50" customWidth="1"/>
    <col min="6916" max="7168" width="9.140625" style="50"/>
    <col min="7169" max="7169" width="12" style="50" customWidth="1"/>
    <col min="7170" max="7170" width="58.85546875" style="50" customWidth="1"/>
    <col min="7171" max="7171" width="30.7109375" style="50" customWidth="1"/>
    <col min="7172" max="7424" width="9.140625" style="50"/>
    <col min="7425" max="7425" width="12" style="50" customWidth="1"/>
    <col min="7426" max="7426" width="58.85546875" style="50" customWidth="1"/>
    <col min="7427" max="7427" width="30.7109375" style="50" customWidth="1"/>
    <col min="7428" max="7680" width="9.140625" style="50"/>
    <col min="7681" max="7681" width="12" style="50" customWidth="1"/>
    <col min="7682" max="7682" width="58.85546875" style="50" customWidth="1"/>
    <col min="7683" max="7683" width="30.7109375" style="50" customWidth="1"/>
    <col min="7684" max="7936" width="9.140625" style="50"/>
    <col min="7937" max="7937" width="12" style="50" customWidth="1"/>
    <col min="7938" max="7938" width="58.85546875" style="50" customWidth="1"/>
    <col min="7939" max="7939" width="30.7109375" style="50" customWidth="1"/>
    <col min="7940" max="8192" width="9.140625" style="50"/>
    <col min="8193" max="8193" width="12" style="50" customWidth="1"/>
    <col min="8194" max="8194" width="58.85546875" style="50" customWidth="1"/>
    <col min="8195" max="8195" width="30.7109375" style="50" customWidth="1"/>
    <col min="8196" max="8448" width="9.140625" style="50"/>
    <col min="8449" max="8449" width="12" style="50" customWidth="1"/>
    <col min="8450" max="8450" width="58.85546875" style="50" customWidth="1"/>
    <col min="8451" max="8451" width="30.7109375" style="50" customWidth="1"/>
    <col min="8452" max="8704" width="9.140625" style="50"/>
    <col min="8705" max="8705" width="12" style="50" customWidth="1"/>
    <col min="8706" max="8706" width="58.85546875" style="50" customWidth="1"/>
    <col min="8707" max="8707" width="30.7109375" style="50" customWidth="1"/>
    <col min="8708" max="8960" width="9.140625" style="50"/>
    <col min="8961" max="8961" width="12" style="50" customWidth="1"/>
    <col min="8962" max="8962" width="58.85546875" style="50" customWidth="1"/>
    <col min="8963" max="8963" width="30.7109375" style="50" customWidth="1"/>
    <col min="8964" max="9216" width="9.140625" style="50"/>
    <col min="9217" max="9217" width="12" style="50" customWidth="1"/>
    <col min="9218" max="9218" width="58.85546875" style="50" customWidth="1"/>
    <col min="9219" max="9219" width="30.7109375" style="50" customWidth="1"/>
    <col min="9220" max="9472" width="9.140625" style="50"/>
    <col min="9473" max="9473" width="12" style="50" customWidth="1"/>
    <col min="9474" max="9474" width="58.85546875" style="50" customWidth="1"/>
    <col min="9475" max="9475" width="30.7109375" style="50" customWidth="1"/>
    <col min="9476" max="9728" width="9.140625" style="50"/>
    <col min="9729" max="9729" width="12" style="50" customWidth="1"/>
    <col min="9730" max="9730" width="58.85546875" style="50" customWidth="1"/>
    <col min="9731" max="9731" width="30.7109375" style="50" customWidth="1"/>
    <col min="9732" max="9984" width="9.140625" style="50"/>
    <col min="9985" max="9985" width="12" style="50" customWidth="1"/>
    <col min="9986" max="9986" width="58.85546875" style="50" customWidth="1"/>
    <col min="9987" max="9987" width="30.7109375" style="50" customWidth="1"/>
    <col min="9988" max="10240" width="9.140625" style="50"/>
    <col min="10241" max="10241" width="12" style="50" customWidth="1"/>
    <col min="10242" max="10242" width="58.85546875" style="50" customWidth="1"/>
    <col min="10243" max="10243" width="30.7109375" style="50" customWidth="1"/>
    <col min="10244" max="10496" width="9.140625" style="50"/>
    <col min="10497" max="10497" width="12" style="50" customWidth="1"/>
    <col min="10498" max="10498" width="58.85546875" style="50" customWidth="1"/>
    <col min="10499" max="10499" width="30.7109375" style="50" customWidth="1"/>
    <col min="10500" max="10752" width="9.140625" style="50"/>
    <col min="10753" max="10753" width="12" style="50" customWidth="1"/>
    <col min="10754" max="10754" width="58.85546875" style="50" customWidth="1"/>
    <col min="10755" max="10755" width="30.7109375" style="50" customWidth="1"/>
    <col min="10756" max="11008" width="9.140625" style="50"/>
    <col min="11009" max="11009" width="12" style="50" customWidth="1"/>
    <col min="11010" max="11010" width="58.85546875" style="50" customWidth="1"/>
    <col min="11011" max="11011" width="30.7109375" style="50" customWidth="1"/>
    <col min="11012" max="11264" width="9.140625" style="50"/>
    <col min="11265" max="11265" width="12" style="50" customWidth="1"/>
    <col min="11266" max="11266" width="58.85546875" style="50" customWidth="1"/>
    <col min="11267" max="11267" width="30.7109375" style="50" customWidth="1"/>
    <col min="11268" max="11520" width="9.140625" style="50"/>
    <col min="11521" max="11521" width="12" style="50" customWidth="1"/>
    <col min="11522" max="11522" width="58.85546875" style="50" customWidth="1"/>
    <col min="11523" max="11523" width="30.7109375" style="50" customWidth="1"/>
    <col min="11524" max="11776" width="9.140625" style="50"/>
    <col min="11777" max="11777" width="12" style="50" customWidth="1"/>
    <col min="11778" max="11778" width="58.85546875" style="50" customWidth="1"/>
    <col min="11779" max="11779" width="30.7109375" style="50" customWidth="1"/>
    <col min="11780" max="12032" width="9.140625" style="50"/>
    <col min="12033" max="12033" width="12" style="50" customWidth="1"/>
    <col min="12034" max="12034" width="58.85546875" style="50" customWidth="1"/>
    <col min="12035" max="12035" width="30.7109375" style="50" customWidth="1"/>
    <col min="12036" max="12288" width="9.140625" style="50"/>
    <col min="12289" max="12289" width="12" style="50" customWidth="1"/>
    <col min="12290" max="12290" width="58.85546875" style="50" customWidth="1"/>
    <col min="12291" max="12291" width="30.7109375" style="50" customWidth="1"/>
    <col min="12292" max="12544" width="9.140625" style="50"/>
    <col min="12545" max="12545" width="12" style="50" customWidth="1"/>
    <col min="12546" max="12546" width="58.85546875" style="50" customWidth="1"/>
    <col min="12547" max="12547" width="30.7109375" style="50" customWidth="1"/>
    <col min="12548" max="12800" width="9.140625" style="50"/>
    <col min="12801" max="12801" width="12" style="50" customWidth="1"/>
    <col min="12802" max="12802" width="58.85546875" style="50" customWidth="1"/>
    <col min="12803" max="12803" width="30.7109375" style="50" customWidth="1"/>
    <col min="12804" max="13056" width="9.140625" style="50"/>
    <col min="13057" max="13057" width="12" style="50" customWidth="1"/>
    <col min="13058" max="13058" width="58.85546875" style="50" customWidth="1"/>
    <col min="13059" max="13059" width="30.7109375" style="50" customWidth="1"/>
    <col min="13060" max="13312" width="9.140625" style="50"/>
    <col min="13313" max="13313" width="12" style="50" customWidth="1"/>
    <col min="13314" max="13314" width="58.85546875" style="50" customWidth="1"/>
    <col min="13315" max="13315" width="30.7109375" style="50" customWidth="1"/>
    <col min="13316" max="13568" width="9.140625" style="50"/>
    <col min="13569" max="13569" width="12" style="50" customWidth="1"/>
    <col min="13570" max="13570" width="58.85546875" style="50" customWidth="1"/>
    <col min="13571" max="13571" width="30.7109375" style="50" customWidth="1"/>
    <col min="13572" max="13824" width="9.140625" style="50"/>
    <col min="13825" max="13825" width="12" style="50" customWidth="1"/>
    <col min="13826" max="13826" width="58.85546875" style="50" customWidth="1"/>
    <col min="13827" max="13827" width="30.7109375" style="50" customWidth="1"/>
    <col min="13828" max="14080" width="9.140625" style="50"/>
    <col min="14081" max="14081" width="12" style="50" customWidth="1"/>
    <col min="14082" max="14082" width="58.85546875" style="50" customWidth="1"/>
    <col min="14083" max="14083" width="30.7109375" style="50" customWidth="1"/>
    <col min="14084" max="14336" width="9.140625" style="50"/>
    <col min="14337" max="14337" width="12" style="50" customWidth="1"/>
    <col min="14338" max="14338" width="58.85546875" style="50" customWidth="1"/>
    <col min="14339" max="14339" width="30.7109375" style="50" customWidth="1"/>
    <col min="14340" max="14592" width="9.140625" style="50"/>
    <col min="14593" max="14593" width="12" style="50" customWidth="1"/>
    <col min="14594" max="14594" width="58.85546875" style="50" customWidth="1"/>
    <col min="14595" max="14595" width="30.7109375" style="50" customWidth="1"/>
    <col min="14596" max="14848" width="9.140625" style="50"/>
    <col min="14849" max="14849" width="12" style="50" customWidth="1"/>
    <col min="14850" max="14850" width="58.85546875" style="50" customWidth="1"/>
    <col min="14851" max="14851" width="30.7109375" style="50" customWidth="1"/>
    <col min="14852" max="15104" width="9.140625" style="50"/>
    <col min="15105" max="15105" width="12" style="50" customWidth="1"/>
    <col min="15106" max="15106" width="58.85546875" style="50" customWidth="1"/>
    <col min="15107" max="15107" width="30.7109375" style="50" customWidth="1"/>
    <col min="15108" max="15360" width="9.140625" style="50"/>
    <col min="15361" max="15361" width="12" style="50" customWidth="1"/>
    <col min="15362" max="15362" width="58.85546875" style="50" customWidth="1"/>
    <col min="15363" max="15363" width="30.7109375" style="50" customWidth="1"/>
    <col min="15364" max="15616" width="9.140625" style="50"/>
    <col min="15617" max="15617" width="12" style="50" customWidth="1"/>
    <col min="15618" max="15618" width="58.85546875" style="50" customWidth="1"/>
    <col min="15619" max="15619" width="30.7109375" style="50" customWidth="1"/>
    <col min="15620" max="15872" width="9.140625" style="50"/>
    <col min="15873" max="15873" width="12" style="50" customWidth="1"/>
    <col min="15874" max="15874" width="58.85546875" style="50" customWidth="1"/>
    <col min="15875" max="15875" width="30.7109375" style="50" customWidth="1"/>
    <col min="15876" max="16128" width="9.140625" style="50"/>
    <col min="16129" max="16129" width="12" style="50" customWidth="1"/>
    <col min="16130" max="16130" width="58.85546875" style="50" customWidth="1"/>
    <col min="16131" max="16131" width="30.7109375" style="50" customWidth="1"/>
    <col min="16132" max="16384" width="9.140625" style="50"/>
  </cols>
  <sheetData>
    <row r="1" spans="1:3" ht="46.5" customHeight="1">
      <c r="A1" s="302" t="s">
        <v>357</v>
      </c>
      <c r="B1" s="302"/>
      <c r="C1" s="302"/>
    </row>
    <row r="2" spans="1:3" s="127" customFormat="1" ht="34.5" customHeight="1">
      <c r="A2" s="57" t="s">
        <v>148</v>
      </c>
      <c r="B2" s="154" t="s">
        <v>2</v>
      </c>
      <c r="C2" s="58" t="s">
        <v>291</v>
      </c>
    </row>
    <row r="3" spans="1:3" s="68" customFormat="1" ht="23.25" customHeight="1">
      <c r="A3" s="63" t="s">
        <v>210</v>
      </c>
      <c r="B3" s="155" t="s">
        <v>212</v>
      </c>
      <c r="C3" s="64"/>
    </row>
    <row r="4" spans="1:3" s="127" customFormat="1" ht="28.5" customHeight="1">
      <c r="A4" s="69" t="s">
        <v>210</v>
      </c>
      <c r="B4" s="303" t="s">
        <v>292</v>
      </c>
      <c r="C4" s="303"/>
    </row>
    <row r="5" spans="1:3" s="277" customFormat="1" ht="28.5" customHeight="1">
      <c r="A5" s="69" t="s">
        <v>213</v>
      </c>
      <c r="B5" s="304" t="s">
        <v>447</v>
      </c>
      <c r="C5" s="305"/>
    </row>
    <row r="6" spans="1:3" ht="18.75" customHeight="1">
      <c r="A6" s="74">
        <v>1</v>
      </c>
      <c r="B6" s="112" t="s">
        <v>216</v>
      </c>
      <c r="C6" s="156" t="s">
        <v>293</v>
      </c>
    </row>
    <row r="7" spans="1:3" ht="18.75" customHeight="1">
      <c r="A7" s="74">
        <v>2</v>
      </c>
      <c r="B7" s="112" t="s">
        <v>218</v>
      </c>
      <c r="C7" s="156" t="s">
        <v>295</v>
      </c>
    </row>
    <row r="8" spans="1:3" ht="30" customHeight="1">
      <c r="A8" s="74">
        <v>3</v>
      </c>
      <c r="B8" s="112" t="s">
        <v>144</v>
      </c>
      <c r="C8" s="64" t="s">
        <v>296</v>
      </c>
    </row>
    <row r="9" spans="1:3" ht="27.75" customHeight="1">
      <c r="A9" s="74">
        <v>4</v>
      </c>
      <c r="B9" s="112" t="s">
        <v>5</v>
      </c>
      <c r="C9" s="64" t="s">
        <v>297</v>
      </c>
    </row>
    <row r="10" spans="1:3" ht="27.75" customHeight="1">
      <c r="A10" s="74"/>
      <c r="B10" s="3" t="s">
        <v>230</v>
      </c>
      <c r="C10" s="5" t="s">
        <v>450</v>
      </c>
    </row>
    <row r="11" spans="1:3" ht="27.75" customHeight="1">
      <c r="A11" s="74"/>
      <c r="B11" s="112" t="s">
        <v>387</v>
      </c>
      <c r="C11" s="5" t="s">
        <v>451</v>
      </c>
    </row>
    <row r="12" spans="1:3" ht="27.75" customHeight="1">
      <c r="A12" s="74"/>
      <c r="B12" s="112" t="s">
        <v>386</v>
      </c>
      <c r="C12" s="5" t="s">
        <v>451</v>
      </c>
    </row>
    <row r="13" spans="1:3" ht="27.75" customHeight="1">
      <c r="A13" s="74"/>
      <c r="B13" s="3" t="s">
        <v>343</v>
      </c>
      <c r="C13" s="5" t="s">
        <v>451</v>
      </c>
    </row>
    <row r="14" spans="1:3" ht="27.75" customHeight="1">
      <c r="A14" s="74"/>
      <c r="B14" s="3" t="s">
        <v>240</v>
      </c>
      <c r="C14" s="5" t="s">
        <v>452</v>
      </c>
    </row>
    <row r="15" spans="1:3" ht="27.75" customHeight="1">
      <c r="A15" s="74"/>
      <c r="B15" s="112" t="s">
        <v>390</v>
      </c>
      <c r="C15" s="5" t="s">
        <v>453</v>
      </c>
    </row>
    <row r="16" spans="1:3" ht="27.75" customHeight="1">
      <c r="A16" s="74"/>
      <c r="B16" s="112" t="s">
        <v>397</v>
      </c>
      <c r="C16" s="5" t="s">
        <v>453</v>
      </c>
    </row>
    <row r="17" spans="1:3" ht="27.75" customHeight="1">
      <c r="A17" s="74"/>
      <c r="B17" s="112" t="s">
        <v>398</v>
      </c>
      <c r="C17" s="5" t="s">
        <v>453</v>
      </c>
    </row>
    <row r="18" spans="1:3" ht="27.75" customHeight="1">
      <c r="A18" s="74"/>
      <c r="B18" s="112" t="s">
        <v>405</v>
      </c>
      <c r="C18" s="5" t="s">
        <v>454</v>
      </c>
    </row>
    <row r="19" spans="1:3" ht="27.75" customHeight="1">
      <c r="A19" s="74"/>
      <c r="B19" s="112" t="s">
        <v>399</v>
      </c>
      <c r="C19" s="5" t="s">
        <v>453</v>
      </c>
    </row>
    <row r="20" spans="1:3" ht="27.75" customHeight="1">
      <c r="A20" s="74"/>
      <c r="B20" s="112" t="s">
        <v>401</v>
      </c>
      <c r="C20" s="5" t="s">
        <v>451</v>
      </c>
    </row>
    <row r="21" spans="1:3" ht="27.75" customHeight="1">
      <c r="A21" s="74"/>
      <c r="B21" s="112" t="s">
        <v>400</v>
      </c>
      <c r="C21" s="5" t="s">
        <v>451</v>
      </c>
    </row>
    <row r="22" spans="1:3" ht="27.75" customHeight="1">
      <c r="A22" s="74"/>
      <c r="B22" s="112" t="s">
        <v>402</v>
      </c>
      <c r="C22" s="5" t="s">
        <v>451</v>
      </c>
    </row>
    <row r="23" spans="1:3" ht="27.75" customHeight="1">
      <c r="A23" s="74"/>
      <c r="B23" s="112" t="s">
        <v>403</v>
      </c>
      <c r="C23" s="5" t="s">
        <v>453</v>
      </c>
    </row>
    <row r="24" spans="1:3" ht="27.75" customHeight="1">
      <c r="A24" s="74"/>
      <c r="B24" s="112" t="s">
        <v>404</v>
      </c>
      <c r="C24" s="5" t="s">
        <v>451</v>
      </c>
    </row>
    <row r="25" spans="1:3" ht="27.75" customHeight="1">
      <c r="A25" s="74"/>
      <c r="B25" s="112" t="s">
        <v>406</v>
      </c>
      <c r="C25" s="5" t="s">
        <v>453</v>
      </c>
    </row>
    <row r="26" spans="1:3" ht="27.75" customHeight="1">
      <c r="A26" s="74"/>
      <c r="B26" s="112" t="s">
        <v>433</v>
      </c>
      <c r="C26" s="5" t="s">
        <v>451</v>
      </c>
    </row>
    <row r="27" spans="1:3" ht="27.75" customHeight="1">
      <c r="A27" s="74"/>
      <c r="B27" s="3" t="s">
        <v>4</v>
      </c>
      <c r="C27" s="156" t="s">
        <v>305</v>
      </c>
    </row>
    <row r="28" spans="1:3" ht="27.75" customHeight="1">
      <c r="A28" s="74"/>
      <c r="B28" s="3" t="s">
        <v>6</v>
      </c>
      <c r="C28" s="156" t="s">
        <v>308</v>
      </c>
    </row>
    <row r="29" spans="1:3" ht="27.75" customHeight="1">
      <c r="A29" s="74"/>
      <c r="B29" s="8" t="s">
        <v>7</v>
      </c>
      <c r="C29" s="156" t="s">
        <v>309</v>
      </c>
    </row>
    <row r="30" spans="1:3" ht="27.75" customHeight="1">
      <c r="A30" s="74"/>
      <c r="B30" s="8" t="s">
        <v>8</v>
      </c>
      <c r="C30" s="156" t="s">
        <v>309</v>
      </c>
    </row>
    <row r="31" spans="1:3" ht="27.75" customHeight="1">
      <c r="A31" s="74"/>
      <c r="B31" s="8" t="s">
        <v>231</v>
      </c>
      <c r="C31" s="156" t="s">
        <v>309</v>
      </c>
    </row>
    <row r="32" spans="1:3" ht="27.75" customHeight="1">
      <c r="A32" s="74"/>
      <c r="B32" s="3" t="s">
        <v>9</v>
      </c>
      <c r="C32" s="156" t="s">
        <v>309</v>
      </c>
    </row>
    <row r="33" spans="1:3" ht="27.75" customHeight="1">
      <c r="A33" s="74"/>
      <c r="B33" s="79" t="s">
        <v>364</v>
      </c>
      <c r="C33" s="64" t="s">
        <v>458</v>
      </c>
    </row>
    <row r="34" spans="1:3" ht="27.75" customHeight="1">
      <c r="A34" s="74" t="s">
        <v>214</v>
      </c>
      <c r="B34" s="306" t="s">
        <v>449</v>
      </c>
      <c r="C34" s="307"/>
    </row>
    <row r="35" spans="1:3" ht="27.75" customHeight="1">
      <c r="A35" s="74">
        <v>4</v>
      </c>
      <c r="B35" s="112" t="s">
        <v>5</v>
      </c>
      <c r="C35" s="64" t="s">
        <v>455</v>
      </c>
    </row>
    <row r="36" spans="1:3" ht="24.75" customHeight="1">
      <c r="A36" s="74">
        <v>5</v>
      </c>
      <c r="B36" s="133" t="s">
        <v>230</v>
      </c>
      <c r="C36" s="156" t="s">
        <v>298</v>
      </c>
    </row>
    <row r="37" spans="1:3" ht="36" customHeight="1">
      <c r="A37" s="74">
        <v>6</v>
      </c>
      <c r="B37" s="112" t="s">
        <v>145</v>
      </c>
      <c r="C37" s="157" t="s">
        <v>299</v>
      </c>
    </row>
    <row r="38" spans="1:3" ht="27" customHeight="1">
      <c r="A38" s="74">
        <v>7</v>
      </c>
      <c r="B38" s="112" t="s">
        <v>241</v>
      </c>
      <c r="C38" s="156" t="s">
        <v>301</v>
      </c>
    </row>
    <row r="39" spans="1:3" ht="18.75" customHeight="1">
      <c r="A39" s="74">
        <v>8</v>
      </c>
      <c r="B39" s="112" t="s">
        <v>240</v>
      </c>
      <c r="C39" s="156" t="s">
        <v>302</v>
      </c>
    </row>
    <row r="40" spans="1:3" ht="18.75" customHeight="1">
      <c r="A40" s="74">
        <v>9</v>
      </c>
      <c r="B40" s="112" t="s">
        <v>254</v>
      </c>
      <c r="C40" s="156" t="s">
        <v>304</v>
      </c>
    </row>
    <row r="41" spans="1:3" ht="18.75" customHeight="1">
      <c r="A41" s="74">
        <v>10</v>
      </c>
      <c r="B41" s="112" t="s">
        <v>4</v>
      </c>
      <c r="C41" s="156" t="s">
        <v>305</v>
      </c>
    </row>
    <row r="42" spans="1:3" ht="18.75" customHeight="1">
      <c r="A42" s="74">
        <v>11</v>
      </c>
      <c r="B42" s="133" t="s">
        <v>6</v>
      </c>
      <c r="C42" s="156" t="s">
        <v>456</v>
      </c>
    </row>
    <row r="43" spans="1:3" ht="18.75" customHeight="1">
      <c r="A43" s="74">
        <v>12</v>
      </c>
      <c r="B43" s="112" t="s">
        <v>7</v>
      </c>
      <c r="C43" s="156" t="s">
        <v>457</v>
      </c>
    </row>
    <row r="44" spans="1:3" ht="18.75" customHeight="1">
      <c r="A44" s="74">
        <v>13</v>
      </c>
      <c r="B44" s="112" t="s">
        <v>8</v>
      </c>
      <c r="C44" s="156" t="s">
        <v>457</v>
      </c>
    </row>
    <row r="45" spans="1:3" ht="18.75" customHeight="1">
      <c r="A45" s="74">
        <v>14</v>
      </c>
      <c r="B45" s="112" t="s">
        <v>312</v>
      </c>
      <c r="C45" s="156" t="s">
        <v>457</v>
      </c>
    </row>
    <row r="46" spans="1:3" ht="27" customHeight="1">
      <c r="A46" s="74">
        <v>15</v>
      </c>
      <c r="B46" s="112" t="s">
        <v>9</v>
      </c>
      <c r="C46" s="156" t="s">
        <v>457</v>
      </c>
    </row>
    <row r="47" spans="1:3" ht="29.25" customHeight="1">
      <c r="A47" s="74">
        <v>16</v>
      </c>
      <c r="B47" s="160" t="s">
        <v>143</v>
      </c>
      <c r="C47" s="64" t="s">
        <v>313</v>
      </c>
    </row>
  </sheetData>
  <mergeCells count="4">
    <mergeCell ref="A1:C1"/>
    <mergeCell ref="B4:C4"/>
    <mergeCell ref="B5:C5"/>
    <mergeCell ref="B34:C34"/>
  </mergeCells>
  <pageMargins left="0.5" right="0.25" top="0.5" bottom="0.5" header="0.25" footer="0.25"/>
  <pageSetup paperSize="9" orientation="landscape" r:id="rId1"/>
  <headerFooter alignWithMargins="0">
    <oddFooter>&amp;C&amp;"t,Regular"&amp;9&amp;P - KK-NM</oddFooter>
  </headerFooter>
</worksheet>
</file>

<file path=xl/worksheets/sheet2.xml><?xml version="1.0" encoding="utf-8"?>
<worksheet xmlns="http://schemas.openxmlformats.org/spreadsheetml/2006/main" xmlns:r="http://schemas.openxmlformats.org/officeDocument/2006/relationships">
  <dimension ref="A1:L23"/>
  <sheetViews>
    <sheetView topLeftCell="A8" zoomScale="80" zoomScaleNormal="80" workbookViewId="0">
      <selection activeCell="N13" sqref="N13"/>
    </sheetView>
  </sheetViews>
  <sheetFormatPr defaultRowHeight="15.75"/>
  <cols>
    <col min="1" max="1" width="5.85546875" style="16" customWidth="1"/>
    <col min="2" max="2" width="17.7109375" style="16" customWidth="1"/>
    <col min="3" max="3" width="30" style="15" customWidth="1"/>
    <col min="4" max="4" width="7.85546875" style="16" customWidth="1"/>
    <col min="5" max="5" width="11.5703125" style="17" customWidth="1"/>
    <col min="6" max="6" width="11.28515625" style="17" customWidth="1"/>
    <col min="7" max="7" width="11.42578125" style="17" customWidth="1"/>
    <col min="8" max="8" width="10.85546875" style="17" customWidth="1"/>
    <col min="9" max="9" width="12.140625" style="17" customWidth="1"/>
    <col min="10" max="10" width="11.7109375" style="17" customWidth="1"/>
    <col min="11" max="11" width="12.85546875" style="17" customWidth="1"/>
    <col min="12" max="12" width="13.85546875" style="17" customWidth="1"/>
    <col min="13" max="257" width="9.140625" style="15"/>
    <col min="258" max="258" width="5.85546875" style="15" customWidth="1"/>
    <col min="259" max="259" width="30" style="15" customWidth="1"/>
    <col min="260" max="260" width="7.85546875" style="15" customWidth="1"/>
    <col min="261" max="261" width="11.5703125" style="15" customWidth="1"/>
    <col min="262" max="262" width="11.28515625" style="15" customWidth="1"/>
    <col min="263" max="263" width="11.42578125" style="15" customWidth="1"/>
    <col min="264" max="264" width="10.85546875" style="15" customWidth="1"/>
    <col min="265" max="265" width="12.140625" style="15" customWidth="1"/>
    <col min="266" max="266" width="11.7109375" style="15" customWidth="1"/>
    <col min="267" max="267" width="12.85546875" style="15" customWidth="1"/>
    <col min="268" max="268" width="13.85546875" style="15" customWidth="1"/>
    <col min="269" max="513" width="9.140625" style="15"/>
    <col min="514" max="514" width="5.85546875" style="15" customWidth="1"/>
    <col min="515" max="515" width="30" style="15" customWidth="1"/>
    <col min="516" max="516" width="7.85546875" style="15" customWidth="1"/>
    <col min="517" max="517" width="11.5703125" style="15" customWidth="1"/>
    <col min="518" max="518" width="11.28515625" style="15" customWidth="1"/>
    <col min="519" max="519" width="11.42578125" style="15" customWidth="1"/>
    <col min="520" max="520" width="10.85546875" style="15" customWidth="1"/>
    <col min="521" max="521" width="12.140625" style="15" customWidth="1"/>
    <col min="522" max="522" width="11.7109375" style="15" customWidth="1"/>
    <col min="523" max="523" width="12.85546875" style="15" customWidth="1"/>
    <col min="524" max="524" width="13.85546875" style="15" customWidth="1"/>
    <col min="525" max="769" width="9.140625" style="15"/>
    <col min="770" max="770" width="5.85546875" style="15" customWidth="1"/>
    <col min="771" max="771" width="30" style="15" customWidth="1"/>
    <col min="772" max="772" width="7.85546875" style="15" customWidth="1"/>
    <col min="773" max="773" width="11.5703125" style="15" customWidth="1"/>
    <col min="774" max="774" width="11.28515625" style="15" customWidth="1"/>
    <col min="775" max="775" width="11.42578125" style="15" customWidth="1"/>
    <col min="776" max="776" width="10.85546875" style="15" customWidth="1"/>
    <col min="777" max="777" width="12.140625" style="15" customWidth="1"/>
    <col min="778" max="778" width="11.7109375" style="15" customWidth="1"/>
    <col min="779" max="779" width="12.85546875" style="15" customWidth="1"/>
    <col min="780" max="780" width="13.85546875" style="15" customWidth="1"/>
    <col min="781" max="1025" width="9.140625" style="15"/>
    <col min="1026" max="1026" width="5.85546875" style="15" customWidth="1"/>
    <col min="1027" max="1027" width="30" style="15" customWidth="1"/>
    <col min="1028" max="1028" width="7.85546875" style="15" customWidth="1"/>
    <col min="1029" max="1029" width="11.5703125" style="15" customWidth="1"/>
    <col min="1030" max="1030" width="11.28515625" style="15" customWidth="1"/>
    <col min="1031" max="1031" width="11.42578125" style="15" customWidth="1"/>
    <col min="1032" max="1032" width="10.85546875" style="15" customWidth="1"/>
    <col min="1033" max="1033" width="12.140625" style="15" customWidth="1"/>
    <col min="1034" max="1034" width="11.7109375" style="15" customWidth="1"/>
    <col min="1035" max="1035" width="12.85546875" style="15" customWidth="1"/>
    <col min="1036" max="1036" width="13.85546875" style="15" customWidth="1"/>
    <col min="1037" max="1281" width="9.140625" style="15"/>
    <col min="1282" max="1282" width="5.85546875" style="15" customWidth="1"/>
    <col min="1283" max="1283" width="30" style="15" customWidth="1"/>
    <col min="1284" max="1284" width="7.85546875" style="15" customWidth="1"/>
    <col min="1285" max="1285" width="11.5703125" style="15" customWidth="1"/>
    <col min="1286" max="1286" width="11.28515625" style="15" customWidth="1"/>
    <col min="1287" max="1287" width="11.42578125" style="15" customWidth="1"/>
    <col min="1288" max="1288" width="10.85546875" style="15" customWidth="1"/>
    <col min="1289" max="1289" width="12.140625" style="15" customWidth="1"/>
    <col min="1290" max="1290" width="11.7109375" style="15" customWidth="1"/>
    <col min="1291" max="1291" width="12.85546875" style="15" customWidth="1"/>
    <col min="1292" max="1292" width="13.85546875" style="15" customWidth="1"/>
    <col min="1293" max="1537" width="9.140625" style="15"/>
    <col min="1538" max="1538" width="5.85546875" style="15" customWidth="1"/>
    <col min="1539" max="1539" width="30" style="15" customWidth="1"/>
    <col min="1540" max="1540" width="7.85546875" style="15" customWidth="1"/>
    <col min="1541" max="1541" width="11.5703125" style="15" customWidth="1"/>
    <col min="1542" max="1542" width="11.28515625" style="15" customWidth="1"/>
    <col min="1543" max="1543" width="11.42578125" style="15" customWidth="1"/>
    <col min="1544" max="1544" width="10.85546875" style="15" customWidth="1"/>
    <col min="1545" max="1545" width="12.140625" style="15" customWidth="1"/>
    <col min="1546" max="1546" width="11.7109375" style="15" customWidth="1"/>
    <col min="1547" max="1547" width="12.85546875" style="15" customWidth="1"/>
    <col min="1548" max="1548" width="13.85546875" style="15" customWidth="1"/>
    <col min="1549" max="1793" width="9.140625" style="15"/>
    <col min="1794" max="1794" width="5.85546875" style="15" customWidth="1"/>
    <col min="1795" max="1795" width="30" style="15" customWidth="1"/>
    <col min="1796" max="1796" width="7.85546875" style="15" customWidth="1"/>
    <col min="1797" max="1797" width="11.5703125" style="15" customWidth="1"/>
    <col min="1798" max="1798" width="11.28515625" style="15" customWidth="1"/>
    <col min="1799" max="1799" width="11.42578125" style="15" customWidth="1"/>
    <col min="1800" max="1800" width="10.85546875" style="15" customWidth="1"/>
    <col min="1801" max="1801" width="12.140625" style="15" customWidth="1"/>
    <col min="1802" max="1802" width="11.7109375" style="15" customWidth="1"/>
    <col min="1803" max="1803" width="12.85546875" style="15" customWidth="1"/>
    <col min="1804" max="1804" width="13.85546875" style="15" customWidth="1"/>
    <col min="1805" max="2049" width="9.140625" style="15"/>
    <col min="2050" max="2050" width="5.85546875" style="15" customWidth="1"/>
    <col min="2051" max="2051" width="30" style="15" customWidth="1"/>
    <col min="2052" max="2052" width="7.85546875" style="15" customWidth="1"/>
    <col min="2053" max="2053" width="11.5703125" style="15" customWidth="1"/>
    <col min="2054" max="2054" width="11.28515625" style="15" customWidth="1"/>
    <col min="2055" max="2055" width="11.42578125" style="15" customWidth="1"/>
    <col min="2056" max="2056" width="10.85546875" style="15" customWidth="1"/>
    <col min="2057" max="2057" width="12.140625" style="15" customWidth="1"/>
    <col min="2058" max="2058" width="11.7109375" style="15" customWidth="1"/>
    <col min="2059" max="2059" width="12.85546875" style="15" customWidth="1"/>
    <col min="2060" max="2060" width="13.85546875" style="15" customWidth="1"/>
    <col min="2061" max="2305" width="9.140625" style="15"/>
    <col min="2306" max="2306" width="5.85546875" style="15" customWidth="1"/>
    <col min="2307" max="2307" width="30" style="15" customWidth="1"/>
    <col min="2308" max="2308" width="7.85546875" style="15" customWidth="1"/>
    <col min="2309" max="2309" width="11.5703125" style="15" customWidth="1"/>
    <col min="2310" max="2310" width="11.28515625" style="15" customWidth="1"/>
    <col min="2311" max="2311" width="11.42578125" style="15" customWidth="1"/>
    <col min="2312" max="2312" width="10.85546875" style="15" customWidth="1"/>
    <col min="2313" max="2313" width="12.140625" style="15" customWidth="1"/>
    <col min="2314" max="2314" width="11.7109375" style="15" customWidth="1"/>
    <col min="2315" max="2315" width="12.85546875" style="15" customWidth="1"/>
    <col min="2316" max="2316" width="13.85546875" style="15" customWidth="1"/>
    <col min="2317" max="2561" width="9.140625" style="15"/>
    <col min="2562" max="2562" width="5.85546875" style="15" customWidth="1"/>
    <col min="2563" max="2563" width="30" style="15" customWidth="1"/>
    <col min="2564" max="2564" width="7.85546875" style="15" customWidth="1"/>
    <col min="2565" max="2565" width="11.5703125" style="15" customWidth="1"/>
    <col min="2566" max="2566" width="11.28515625" style="15" customWidth="1"/>
    <col min="2567" max="2567" width="11.42578125" style="15" customWidth="1"/>
    <col min="2568" max="2568" width="10.85546875" style="15" customWidth="1"/>
    <col min="2569" max="2569" width="12.140625" style="15" customWidth="1"/>
    <col min="2570" max="2570" width="11.7109375" style="15" customWidth="1"/>
    <col min="2571" max="2571" width="12.85546875" style="15" customWidth="1"/>
    <col min="2572" max="2572" width="13.85546875" style="15" customWidth="1"/>
    <col min="2573" max="2817" width="9.140625" style="15"/>
    <col min="2818" max="2818" width="5.85546875" style="15" customWidth="1"/>
    <col min="2819" max="2819" width="30" style="15" customWidth="1"/>
    <col min="2820" max="2820" width="7.85546875" style="15" customWidth="1"/>
    <col min="2821" max="2821" width="11.5703125" style="15" customWidth="1"/>
    <col min="2822" max="2822" width="11.28515625" style="15" customWidth="1"/>
    <col min="2823" max="2823" width="11.42578125" style="15" customWidth="1"/>
    <col min="2824" max="2824" width="10.85546875" style="15" customWidth="1"/>
    <col min="2825" max="2825" width="12.140625" style="15" customWidth="1"/>
    <col min="2826" max="2826" width="11.7109375" style="15" customWidth="1"/>
    <col min="2827" max="2827" width="12.85546875" style="15" customWidth="1"/>
    <col min="2828" max="2828" width="13.85546875" style="15" customWidth="1"/>
    <col min="2829" max="3073" width="9.140625" style="15"/>
    <col min="3074" max="3074" width="5.85546875" style="15" customWidth="1"/>
    <col min="3075" max="3075" width="30" style="15" customWidth="1"/>
    <col min="3076" max="3076" width="7.85546875" style="15" customWidth="1"/>
    <col min="3077" max="3077" width="11.5703125" style="15" customWidth="1"/>
    <col min="3078" max="3078" width="11.28515625" style="15" customWidth="1"/>
    <col min="3079" max="3079" width="11.42578125" style="15" customWidth="1"/>
    <col min="3080" max="3080" width="10.85546875" style="15" customWidth="1"/>
    <col min="3081" max="3081" width="12.140625" style="15" customWidth="1"/>
    <col min="3082" max="3082" width="11.7109375" style="15" customWidth="1"/>
    <col min="3083" max="3083" width="12.85546875" style="15" customWidth="1"/>
    <col min="3084" max="3084" width="13.85546875" style="15" customWidth="1"/>
    <col min="3085" max="3329" width="9.140625" style="15"/>
    <col min="3330" max="3330" width="5.85546875" style="15" customWidth="1"/>
    <col min="3331" max="3331" width="30" style="15" customWidth="1"/>
    <col min="3332" max="3332" width="7.85546875" style="15" customWidth="1"/>
    <col min="3333" max="3333" width="11.5703125" style="15" customWidth="1"/>
    <col min="3334" max="3334" width="11.28515625" style="15" customWidth="1"/>
    <col min="3335" max="3335" width="11.42578125" style="15" customWidth="1"/>
    <col min="3336" max="3336" width="10.85546875" style="15" customWidth="1"/>
    <col min="3337" max="3337" width="12.140625" style="15" customWidth="1"/>
    <col min="3338" max="3338" width="11.7109375" style="15" customWidth="1"/>
    <col min="3339" max="3339" width="12.85546875" style="15" customWidth="1"/>
    <col min="3340" max="3340" width="13.85546875" style="15" customWidth="1"/>
    <col min="3341" max="3585" width="9.140625" style="15"/>
    <col min="3586" max="3586" width="5.85546875" style="15" customWidth="1"/>
    <col min="3587" max="3587" width="30" style="15" customWidth="1"/>
    <col min="3588" max="3588" width="7.85546875" style="15" customWidth="1"/>
    <col min="3589" max="3589" width="11.5703125" style="15" customWidth="1"/>
    <col min="3590" max="3590" width="11.28515625" style="15" customWidth="1"/>
    <col min="3591" max="3591" width="11.42578125" style="15" customWidth="1"/>
    <col min="3592" max="3592" width="10.85546875" style="15" customWidth="1"/>
    <col min="3593" max="3593" width="12.140625" style="15" customWidth="1"/>
    <col min="3594" max="3594" width="11.7109375" style="15" customWidth="1"/>
    <col min="3595" max="3595" width="12.85546875" style="15" customWidth="1"/>
    <col min="3596" max="3596" width="13.85546875" style="15" customWidth="1"/>
    <col min="3597" max="3841" width="9.140625" style="15"/>
    <col min="3842" max="3842" width="5.85546875" style="15" customWidth="1"/>
    <col min="3843" max="3843" width="30" style="15" customWidth="1"/>
    <col min="3844" max="3844" width="7.85546875" style="15" customWidth="1"/>
    <col min="3845" max="3845" width="11.5703125" style="15" customWidth="1"/>
    <col min="3846" max="3846" width="11.28515625" style="15" customWidth="1"/>
    <col min="3847" max="3847" width="11.42578125" style="15" customWidth="1"/>
    <col min="3848" max="3848" width="10.85546875" style="15" customWidth="1"/>
    <col min="3849" max="3849" width="12.140625" style="15" customWidth="1"/>
    <col min="3850" max="3850" width="11.7109375" style="15" customWidth="1"/>
    <col min="3851" max="3851" width="12.85546875" style="15" customWidth="1"/>
    <col min="3852" max="3852" width="13.85546875" style="15" customWidth="1"/>
    <col min="3853" max="4097" width="9.140625" style="15"/>
    <col min="4098" max="4098" width="5.85546875" style="15" customWidth="1"/>
    <col min="4099" max="4099" width="30" style="15" customWidth="1"/>
    <col min="4100" max="4100" width="7.85546875" style="15" customWidth="1"/>
    <col min="4101" max="4101" width="11.5703125" style="15" customWidth="1"/>
    <col min="4102" max="4102" width="11.28515625" style="15" customWidth="1"/>
    <col min="4103" max="4103" width="11.42578125" style="15" customWidth="1"/>
    <col min="4104" max="4104" width="10.85546875" style="15" customWidth="1"/>
    <col min="4105" max="4105" width="12.140625" style="15" customWidth="1"/>
    <col min="4106" max="4106" width="11.7109375" style="15" customWidth="1"/>
    <col min="4107" max="4107" width="12.85546875" style="15" customWidth="1"/>
    <col min="4108" max="4108" width="13.85546875" style="15" customWidth="1"/>
    <col min="4109" max="4353" width="9.140625" style="15"/>
    <col min="4354" max="4354" width="5.85546875" style="15" customWidth="1"/>
    <col min="4355" max="4355" width="30" style="15" customWidth="1"/>
    <col min="4356" max="4356" width="7.85546875" style="15" customWidth="1"/>
    <col min="4357" max="4357" width="11.5703125" style="15" customWidth="1"/>
    <col min="4358" max="4358" width="11.28515625" style="15" customWidth="1"/>
    <col min="4359" max="4359" width="11.42578125" style="15" customWidth="1"/>
    <col min="4360" max="4360" width="10.85546875" style="15" customWidth="1"/>
    <col min="4361" max="4361" width="12.140625" style="15" customWidth="1"/>
    <col min="4362" max="4362" width="11.7109375" style="15" customWidth="1"/>
    <col min="4363" max="4363" width="12.85546875" style="15" customWidth="1"/>
    <col min="4364" max="4364" width="13.85546875" style="15" customWidth="1"/>
    <col min="4365" max="4609" width="9.140625" style="15"/>
    <col min="4610" max="4610" width="5.85546875" style="15" customWidth="1"/>
    <col min="4611" max="4611" width="30" style="15" customWidth="1"/>
    <col min="4612" max="4612" width="7.85546875" style="15" customWidth="1"/>
    <col min="4613" max="4613" width="11.5703125" style="15" customWidth="1"/>
    <col min="4614" max="4614" width="11.28515625" style="15" customWidth="1"/>
    <col min="4615" max="4615" width="11.42578125" style="15" customWidth="1"/>
    <col min="4616" max="4616" width="10.85546875" style="15" customWidth="1"/>
    <col min="4617" max="4617" width="12.140625" style="15" customWidth="1"/>
    <col min="4618" max="4618" width="11.7109375" style="15" customWidth="1"/>
    <col min="4619" max="4619" width="12.85546875" style="15" customWidth="1"/>
    <col min="4620" max="4620" width="13.85546875" style="15" customWidth="1"/>
    <col min="4621" max="4865" width="9.140625" style="15"/>
    <col min="4866" max="4866" width="5.85546875" style="15" customWidth="1"/>
    <col min="4867" max="4867" width="30" style="15" customWidth="1"/>
    <col min="4868" max="4868" width="7.85546875" style="15" customWidth="1"/>
    <col min="4869" max="4869" width="11.5703125" style="15" customWidth="1"/>
    <col min="4870" max="4870" width="11.28515625" style="15" customWidth="1"/>
    <col min="4871" max="4871" width="11.42578125" style="15" customWidth="1"/>
    <col min="4872" max="4872" width="10.85546875" style="15" customWidth="1"/>
    <col min="4873" max="4873" width="12.140625" style="15" customWidth="1"/>
    <col min="4874" max="4874" width="11.7109375" style="15" customWidth="1"/>
    <col min="4875" max="4875" width="12.85546875" style="15" customWidth="1"/>
    <col min="4876" max="4876" width="13.85546875" style="15" customWidth="1"/>
    <col min="4877" max="5121" width="9.140625" style="15"/>
    <col min="5122" max="5122" width="5.85546875" style="15" customWidth="1"/>
    <col min="5123" max="5123" width="30" style="15" customWidth="1"/>
    <col min="5124" max="5124" width="7.85546875" style="15" customWidth="1"/>
    <col min="5125" max="5125" width="11.5703125" style="15" customWidth="1"/>
    <col min="5126" max="5126" width="11.28515625" style="15" customWidth="1"/>
    <col min="5127" max="5127" width="11.42578125" style="15" customWidth="1"/>
    <col min="5128" max="5128" width="10.85546875" style="15" customWidth="1"/>
    <col min="5129" max="5129" width="12.140625" style="15" customWidth="1"/>
    <col min="5130" max="5130" width="11.7109375" style="15" customWidth="1"/>
    <col min="5131" max="5131" width="12.85546875" style="15" customWidth="1"/>
    <col min="5132" max="5132" width="13.85546875" style="15" customWidth="1"/>
    <col min="5133" max="5377" width="9.140625" style="15"/>
    <col min="5378" max="5378" width="5.85546875" style="15" customWidth="1"/>
    <col min="5379" max="5379" width="30" style="15" customWidth="1"/>
    <col min="5380" max="5380" width="7.85546875" style="15" customWidth="1"/>
    <col min="5381" max="5381" width="11.5703125" style="15" customWidth="1"/>
    <col min="5382" max="5382" width="11.28515625" style="15" customWidth="1"/>
    <col min="5383" max="5383" width="11.42578125" style="15" customWidth="1"/>
    <col min="5384" max="5384" width="10.85546875" style="15" customWidth="1"/>
    <col min="5385" max="5385" width="12.140625" style="15" customWidth="1"/>
    <col min="5386" max="5386" width="11.7109375" style="15" customWidth="1"/>
    <col min="5387" max="5387" width="12.85546875" style="15" customWidth="1"/>
    <col min="5388" max="5388" width="13.85546875" style="15" customWidth="1"/>
    <col min="5389" max="5633" width="9.140625" style="15"/>
    <col min="5634" max="5634" width="5.85546875" style="15" customWidth="1"/>
    <col min="5635" max="5635" width="30" style="15" customWidth="1"/>
    <col min="5636" max="5636" width="7.85546875" style="15" customWidth="1"/>
    <col min="5637" max="5637" width="11.5703125" style="15" customWidth="1"/>
    <col min="5638" max="5638" width="11.28515625" style="15" customWidth="1"/>
    <col min="5639" max="5639" width="11.42578125" style="15" customWidth="1"/>
    <col min="5640" max="5640" width="10.85546875" style="15" customWidth="1"/>
    <col min="5641" max="5641" width="12.140625" style="15" customWidth="1"/>
    <col min="5642" max="5642" width="11.7109375" style="15" customWidth="1"/>
    <col min="5643" max="5643" width="12.85546875" style="15" customWidth="1"/>
    <col min="5644" max="5644" width="13.85546875" style="15" customWidth="1"/>
    <col min="5645" max="5889" width="9.140625" style="15"/>
    <col min="5890" max="5890" width="5.85546875" style="15" customWidth="1"/>
    <col min="5891" max="5891" width="30" style="15" customWidth="1"/>
    <col min="5892" max="5892" width="7.85546875" style="15" customWidth="1"/>
    <col min="5893" max="5893" width="11.5703125" style="15" customWidth="1"/>
    <col min="5894" max="5894" width="11.28515625" style="15" customWidth="1"/>
    <col min="5895" max="5895" width="11.42578125" style="15" customWidth="1"/>
    <col min="5896" max="5896" width="10.85546875" style="15" customWidth="1"/>
    <col min="5897" max="5897" width="12.140625" style="15" customWidth="1"/>
    <col min="5898" max="5898" width="11.7109375" style="15" customWidth="1"/>
    <col min="5899" max="5899" width="12.85546875" style="15" customWidth="1"/>
    <col min="5900" max="5900" width="13.85546875" style="15" customWidth="1"/>
    <col min="5901" max="6145" width="9.140625" style="15"/>
    <col min="6146" max="6146" width="5.85546875" style="15" customWidth="1"/>
    <col min="6147" max="6147" width="30" style="15" customWidth="1"/>
    <col min="6148" max="6148" width="7.85546875" style="15" customWidth="1"/>
    <col min="6149" max="6149" width="11.5703125" style="15" customWidth="1"/>
    <col min="6150" max="6150" width="11.28515625" style="15" customWidth="1"/>
    <col min="6151" max="6151" width="11.42578125" style="15" customWidth="1"/>
    <col min="6152" max="6152" width="10.85546875" style="15" customWidth="1"/>
    <col min="6153" max="6153" width="12.140625" style="15" customWidth="1"/>
    <col min="6154" max="6154" width="11.7109375" style="15" customWidth="1"/>
    <col min="6155" max="6155" width="12.85546875" style="15" customWidth="1"/>
    <col min="6156" max="6156" width="13.85546875" style="15" customWidth="1"/>
    <col min="6157" max="6401" width="9.140625" style="15"/>
    <col min="6402" max="6402" width="5.85546875" style="15" customWidth="1"/>
    <col min="6403" max="6403" width="30" style="15" customWidth="1"/>
    <col min="6404" max="6404" width="7.85546875" style="15" customWidth="1"/>
    <col min="6405" max="6405" width="11.5703125" style="15" customWidth="1"/>
    <col min="6406" max="6406" width="11.28515625" style="15" customWidth="1"/>
    <col min="6407" max="6407" width="11.42578125" style="15" customWidth="1"/>
    <col min="6408" max="6408" width="10.85546875" style="15" customWidth="1"/>
    <col min="6409" max="6409" width="12.140625" style="15" customWidth="1"/>
    <col min="6410" max="6410" width="11.7109375" style="15" customWidth="1"/>
    <col min="6411" max="6411" width="12.85546875" style="15" customWidth="1"/>
    <col min="6412" max="6412" width="13.85546875" style="15" customWidth="1"/>
    <col min="6413" max="6657" width="9.140625" style="15"/>
    <col min="6658" max="6658" width="5.85546875" style="15" customWidth="1"/>
    <col min="6659" max="6659" width="30" style="15" customWidth="1"/>
    <col min="6660" max="6660" width="7.85546875" style="15" customWidth="1"/>
    <col min="6661" max="6661" width="11.5703125" style="15" customWidth="1"/>
    <col min="6662" max="6662" width="11.28515625" style="15" customWidth="1"/>
    <col min="6663" max="6663" width="11.42578125" style="15" customWidth="1"/>
    <col min="6664" max="6664" width="10.85546875" style="15" customWidth="1"/>
    <col min="6665" max="6665" width="12.140625" style="15" customWidth="1"/>
    <col min="6666" max="6666" width="11.7109375" style="15" customWidth="1"/>
    <col min="6667" max="6667" width="12.85546875" style="15" customWidth="1"/>
    <col min="6668" max="6668" width="13.85546875" style="15" customWidth="1"/>
    <col min="6669" max="6913" width="9.140625" style="15"/>
    <col min="6914" max="6914" width="5.85546875" style="15" customWidth="1"/>
    <col min="6915" max="6915" width="30" style="15" customWidth="1"/>
    <col min="6916" max="6916" width="7.85546875" style="15" customWidth="1"/>
    <col min="6917" max="6917" width="11.5703125" style="15" customWidth="1"/>
    <col min="6918" max="6918" width="11.28515625" style="15" customWidth="1"/>
    <col min="6919" max="6919" width="11.42578125" style="15" customWidth="1"/>
    <col min="6920" max="6920" width="10.85546875" style="15" customWidth="1"/>
    <col min="6921" max="6921" width="12.140625" style="15" customWidth="1"/>
    <col min="6922" max="6922" width="11.7109375" style="15" customWidth="1"/>
    <col min="6923" max="6923" width="12.85546875" style="15" customWidth="1"/>
    <col min="6924" max="6924" width="13.85546875" style="15" customWidth="1"/>
    <col min="6925" max="7169" width="9.140625" style="15"/>
    <col min="7170" max="7170" width="5.85546875" style="15" customWidth="1"/>
    <col min="7171" max="7171" width="30" style="15" customWidth="1"/>
    <col min="7172" max="7172" width="7.85546875" style="15" customWidth="1"/>
    <col min="7173" max="7173" width="11.5703125" style="15" customWidth="1"/>
    <col min="7174" max="7174" width="11.28515625" style="15" customWidth="1"/>
    <col min="7175" max="7175" width="11.42578125" style="15" customWidth="1"/>
    <col min="7176" max="7176" width="10.85546875" style="15" customWidth="1"/>
    <col min="7177" max="7177" width="12.140625" style="15" customWidth="1"/>
    <col min="7178" max="7178" width="11.7109375" style="15" customWidth="1"/>
    <col min="7179" max="7179" width="12.85546875" style="15" customWidth="1"/>
    <col min="7180" max="7180" width="13.85546875" style="15" customWidth="1"/>
    <col min="7181" max="7425" width="9.140625" style="15"/>
    <col min="7426" max="7426" width="5.85546875" style="15" customWidth="1"/>
    <col min="7427" max="7427" width="30" style="15" customWidth="1"/>
    <col min="7428" max="7428" width="7.85546875" style="15" customWidth="1"/>
    <col min="7429" max="7429" width="11.5703125" style="15" customWidth="1"/>
    <col min="7430" max="7430" width="11.28515625" style="15" customWidth="1"/>
    <col min="7431" max="7431" width="11.42578125" style="15" customWidth="1"/>
    <col min="7432" max="7432" width="10.85546875" style="15" customWidth="1"/>
    <col min="7433" max="7433" width="12.140625" style="15" customWidth="1"/>
    <col min="7434" max="7434" width="11.7109375" style="15" customWidth="1"/>
    <col min="7435" max="7435" width="12.85546875" style="15" customWidth="1"/>
    <col min="7436" max="7436" width="13.85546875" style="15" customWidth="1"/>
    <col min="7437" max="7681" width="9.140625" style="15"/>
    <col min="7682" max="7682" width="5.85546875" style="15" customWidth="1"/>
    <col min="7683" max="7683" width="30" style="15" customWidth="1"/>
    <col min="7684" max="7684" width="7.85546875" style="15" customWidth="1"/>
    <col min="7685" max="7685" width="11.5703125" style="15" customWidth="1"/>
    <col min="7686" max="7686" width="11.28515625" style="15" customWidth="1"/>
    <col min="7687" max="7687" width="11.42578125" style="15" customWidth="1"/>
    <col min="7688" max="7688" width="10.85546875" style="15" customWidth="1"/>
    <col min="7689" max="7689" width="12.140625" style="15" customWidth="1"/>
    <col min="7690" max="7690" width="11.7109375" style="15" customWidth="1"/>
    <col min="7691" max="7691" width="12.85546875" style="15" customWidth="1"/>
    <col min="7692" max="7692" width="13.85546875" style="15" customWidth="1"/>
    <col min="7693" max="7937" width="9.140625" style="15"/>
    <col min="7938" max="7938" width="5.85546875" style="15" customWidth="1"/>
    <col min="7939" max="7939" width="30" style="15" customWidth="1"/>
    <col min="7940" max="7940" width="7.85546875" style="15" customWidth="1"/>
    <col min="7941" max="7941" width="11.5703125" style="15" customWidth="1"/>
    <col min="7942" max="7942" width="11.28515625" style="15" customWidth="1"/>
    <col min="7943" max="7943" width="11.42578125" style="15" customWidth="1"/>
    <col min="7944" max="7944" width="10.85546875" style="15" customWidth="1"/>
    <col min="7945" max="7945" width="12.140625" style="15" customWidth="1"/>
    <col min="7946" max="7946" width="11.7109375" style="15" customWidth="1"/>
    <col min="7947" max="7947" width="12.85546875" style="15" customWidth="1"/>
    <col min="7948" max="7948" width="13.85546875" style="15" customWidth="1"/>
    <col min="7949" max="8193" width="9.140625" style="15"/>
    <col min="8194" max="8194" width="5.85546875" style="15" customWidth="1"/>
    <col min="8195" max="8195" width="30" style="15" customWidth="1"/>
    <col min="8196" max="8196" width="7.85546875" style="15" customWidth="1"/>
    <col min="8197" max="8197" width="11.5703125" style="15" customWidth="1"/>
    <col min="8198" max="8198" width="11.28515625" style="15" customWidth="1"/>
    <col min="8199" max="8199" width="11.42578125" style="15" customWidth="1"/>
    <col min="8200" max="8200" width="10.85546875" style="15" customWidth="1"/>
    <col min="8201" max="8201" width="12.140625" style="15" customWidth="1"/>
    <col min="8202" max="8202" width="11.7109375" style="15" customWidth="1"/>
    <col min="8203" max="8203" width="12.85546875" style="15" customWidth="1"/>
    <col min="8204" max="8204" width="13.85546875" style="15" customWidth="1"/>
    <col min="8205" max="8449" width="9.140625" style="15"/>
    <col min="8450" max="8450" width="5.85546875" style="15" customWidth="1"/>
    <col min="8451" max="8451" width="30" style="15" customWidth="1"/>
    <col min="8452" max="8452" width="7.85546875" style="15" customWidth="1"/>
    <col min="8453" max="8453" width="11.5703125" style="15" customWidth="1"/>
    <col min="8454" max="8454" width="11.28515625" style="15" customWidth="1"/>
    <col min="8455" max="8455" width="11.42578125" style="15" customWidth="1"/>
    <col min="8456" max="8456" width="10.85546875" style="15" customWidth="1"/>
    <col min="8457" max="8457" width="12.140625" style="15" customWidth="1"/>
    <col min="8458" max="8458" width="11.7109375" style="15" customWidth="1"/>
    <col min="8459" max="8459" width="12.85546875" style="15" customWidth="1"/>
    <col min="8460" max="8460" width="13.85546875" style="15" customWidth="1"/>
    <col min="8461" max="8705" width="9.140625" style="15"/>
    <col min="8706" max="8706" width="5.85546875" style="15" customWidth="1"/>
    <col min="8707" max="8707" width="30" style="15" customWidth="1"/>
    <col min="8708" max="8708" width="7.85546875" style="15" customWidth="1"/>
    <col min="8709" max="8709" width="11.5703125" style="15" customWidth="1"/>
    <col min="8710" max="8710" width="11.28515625" style="15" customWidth="1"/>
    <col min="8711" max="8711" width="11.42578125" style="15" customWidth="1"/>
    <col min="8712" max="8712" width="10.85546875" style="15" customWidth="1"/>
    <col min="8713" max="8713" width="12.140625" style="15" customWidth="1"/>
    <col min="8714" max="8714" width="11.7109375" style="15" customWidth="1"/>
    <col min="8715" max="8715" width="12.85546875" style="15" customWidth="1"/>
    <col min="8716" max="8716" width="13.85546875" style="15" customWidth="1"/>
    <col min="8717" max="8961" width="9.140625" style="15"/>
    <col min="8962" max="8962" width="5.85546875" style="15" customWidth="1"/>
    <col min="8963" max="8963" width="30" style="15" customWidth="1"/>
    <col min="8964" max="8964" width="7.85546875" style="15" customWidth="1"/>
    <col min="8965" max="8965" width="11.5703125" style="15" customWidth="1"/>
    <col min="8966" max="8966" width="11.28515625" style="15" customWidth="1"/>
    <col min="8967" max="8967" width="11.42578125" style="15" customWidth="1"/>
    <col min="8968" max="8968" width="10.85546875" style="15" customWidth="1"/>
    <col min="8969" max="8969" width="12.140625" style="15" customWidth="1"/>
    <col min="8970" max="8970" width="11.7109375" style="15" customWidth="1"/>
    <col min="8971" max="8971" width="12.85546875" style="15" customWidth="1"/>
    <col min="8972" max="8972" width="13.85546875" style="15" customWidth="1"/>
    <col min="8973" max="9217" width="9.140625" style="15"/>
    <col min="9218" max="9218" width="5.85546875" style="15" customWidth="1"/>
    <col min="9219" max="9219" width="30" style="15" customWidth="1"/>
    <col min="9220" max="9220" width="7.85546875" style="15" customWidth="1"/>
    <col min="9221" max="9221" width="11.5703125" style="15" customWidth="1"/>
    <col min="9222" max="9222" width="11.28515625" style="15" customWidth="1"/>
    <col min="9223" max="9223" width="11.42578125" style="15" customWidth="1"/>
    <col min="9224" max="9224" width="10.85546875" style="15" customWidth="1"/>
    <col min="9225" max="9225" width="12.140625" style="15" customWidth="1"/>
    <col min="9226" max="9226" width="11.7109375" style="15" customWidth="1"/>
    <col min="9227" max="9227" width="12.85546875" style="15" customWidth="1"/>
    <col min="9228" max="9228" width="13.85546875" style="15" customWidth="1"/>
    <col min="9229" max="9473" width="9.140625" style="15"/>
    <col min="9474" max="9474" width="5.85546875" style="15" customWidth="1"/>
    <col min="9475" max="9475" width="30" style="15" customWidth="1"/>
    <col min="9476" max="9476" width="7.85546875" style="15" customWidth="1"/>
    <col min="9477" max="9477" width="11.5703125" style="15" customWidth="1"/>
    <col min="9478" max="9478" width="11.28515625" style="15" customWidth="1"/>
    <col min="9479" max="9479" width="11.42578125" style="15" customWidth="1"/>
    <col min="9480" max="9480" width="10.85546875" style="15" customWidth="1"/>
    <col min="9481" max="9481" width="12.140625" style="15" customWidth="1"/>
    <col min="9482" max="9482" width="11.7109375" style="15" customWidth="1"/>
    <col min="9483" max="9483" width="12.85546875" style="15" customWidth="1"/>
    <col min="9484" max="9484" width="13.85546875" style="15" customWidth="1"/>
    <col min="9485" max="9729" width="9.140625" style="15"/>
    <col min="9730" max="9730" width="5.85546875" style="15" customWidth="1"/>
    <col min="9731" max="9731" width="30" style="15" customWidth="1"/>
    <col min="9732" max="9732" width="7.85546875" style="15" customWidth="1"/>
    <col min="9733" max="9733" width="11.5703125" style="15" customWidth="1"/>
    <col min="9734" max="9734" width="11.28515625" style="15" customWidth="1"/>
    <col min="9735" max="9735" width="11.42578125" style="15" customWidth="1"/>
    <col min="9736" max="9736" width="10.85546875" style="15" customWidth="1"/>
    <col min="9737" max="9737" width="12.140625" style="15" customWidth="1"/>
    <col min="9738" max="9738" width="11.7109375" style="15" customWidth="1"/>
    <col min="9739" max="9739" width="12.85546875" style="15" customWidth="1"/>
    <col min="9740" max="9740" width="13.85546875" style="15" customWidth="1"/>
    <col min="9741" max="9985" width="9.140625" style="15"/>
    <col min="9986" max="9986" width="5.85546875" style="15" customWidth="1"/>
    <col min="9987" max="9987" width="30" style="15" customWidth="1"/>
    <col min="9988" max="9988" width="7.85546875" style="15" customWidth="1"/>
    <col min="9989" max="9989" width="11.5703125" style="15" customWidth="1"/>
    <col min="9990" max="9990" width="11.28515625" style="15" customWidth="1"/>
    <col min="9991" max="9991" width="11.42578125" style="15" customWidth="1"/>
    <col min="9992" max="9992" width="10.85546875" style="15" customWidth="1"/>
    <col min="9993" max="9993" width="12.140625" style="15" customWidth="1"/>
    <col min="9994" max="9994" width="11.7109375" style="15" customWidth="1"/>
    <col min="9995" max="9995" width="12.85546875" style="15" customWidth="1"/>
    <col min="9996" max="9996" width="13.85546875" style="15" customWidth="1"/>
    <col min="9997" max="10241" width="9.140625" style="15"/>
    <col min="10242" max="10242" width="5.85546875" style="15" customWidth="1"/>
    <col min="10243" max="10243" width="30" style="15" customWidth="1"/>
    <col min="10244" max="10244" width="7.85546875" style="15" customWidth="1"/>
    <col min="10245" max="10245" width="11.5703125" style="15" customWidth="1"/>
    <col min="10246" max="10246" width="11.28515625" style="15" customWidth="1"/>
    <col min="10247" max="10247" width="11.42578125" style="15" customWidth="1"/>
    <col min="10248" max="10248" width="10.85546875" style="15" customWidth="1"/>
    <col min="10249" max="10249" width="12.140625" style="15" customWidth="1"/>
    <col min="10250" max="10250" width="11.7109375" style="15" customWidth="1"/>
    <col min="10251" max="10251" width="12.85546875" style="15" customWidth="1"/>
    <col min="10252" max="10252" width="13.85546875" style="15" customWidth="1"/>
    <col min="10253" max="10497" width="9.140625" style="15"/>
    <col min="10498" max="10498" width="5.85546875" style="15" customWidth="1"/>
    <col min="10499" max="10499" width="30" style="15" customWidth="1"/>
    <col min="10500" max="10500" width="7.85546875" style="15" customWidth="1"/>
    <col min="10501" max="10501" width="11.5703125" style="15" customWidth="1"/>
    <col min="10502" max="10502" width="11.28515625" style="15" customWidth="1"/>
    <col min="10503" max="10503" width="11.42578125" style="15" customWidth="1"/>
    <col min="10504" max="10504" width="10.85546875" style="15" customWidth="1"/>
    <col min="10505" max="10505" width="12.140625" style="15" customWidth="1"/>
    <col min="10506" max="10506" width="11.7109375" style="15" customWidth="1"/>
    <col min="10507" max="10507" width="12.85546875" style="15" customWidth="1"/>
    <col min="10508" max="10508" width="13.85546875" style="15" customWidth="1"/>
    <col min="10509" max="10753" width="9.140625" style="15"/>
    <col min="10754" max="10754" width="5.85546875" style="15" customWidth="1"/>
    <col min="10755" max="10755" width="30" style="15" customWidth="1"/>
    <col min="10756" max="10756" width="7.85546875" style="15" customWidth="1"/>
    <col min="10757" max="10757" width="11.5703125" style="15" customWidth="1"/>
    <col min="10758" max="10758" width="11.28515625" style="15" customWidth="1"/>
    <col min="10759" max="10759" width="11.42578125" style="15" customWidth="1"/>
    <col min="10760" max="10760" width="10.85546875" style="15" customWidth="1"/>
    <col min="10761" max="10761" width="12.140625" style="15" customWidth="1"/>
    <col min="10762" max="10762" width="11.7109375" style="15" customWidth="1"/>
    <col min="10763" max="10763" width="12.85546875" style="15" customWidth="1"/>
    <col min="10764" max="10764" width="13.85546875" style="15" customWidth="1"/>
    <col min="10765" max="11009" width="9.140625" style="15"/>
    <col min="11010" max="11010" width="5.85546875" style="15" customWidth="1"/>
    <col min="11011" max="11011" width="30" style="15" customWidth="1"/>
    <col min="11012" max="11012" width="7.85546875" style="15" customWidth="1"/>
    <col min="11013" max="11013" width="11.5703125" style="15" customWidth="1"/>
    <col min="11014" max="11014" width="11.28515625" style="15" customWidth="1"/>
    <col min="11015" max="11015" width="11.42578125" style="15" customWidth="1"/>
    <col min="11016" max="11016" width="10.85546875" style="15" customWidth="1"/>
    <col min="11017" max="11017" width="12.140625" style="15" customWidth="1"/>
    <col min="11018" max="11018" width="11.7109375" style="15" customWidth="1"/>
    <col min="11019" max="11019" width="12.85546875" style="15" customWidth="1"/>
    <col min="11020" max="11020" width="13.85546875" style="15" customWidth="1"/>
    <col min="11021" max="11265" width="9.140625" style="15"/>
    <col min="11266" max="11266" width="5.85546875" style="15" customWidth="1"/>
    <col min="11267" max="11267" width="30" style="15" customWidth="1"/>
    <col min="11268" max="11268" width="7.85546875" style="15" customWidth="1"/>
    <col min="11269" max="11269" width="11.5703125" style="15" customWidth="1"/>
    <col min="11270" max="11270" width="11.28515625" style="15" customWidth="1"/>
    <col min="11271" max="11271" width="11.42578125" style="15" customWidth="1"/>
    <col min="11272" max="11272" width="10.85546875" style="15" customWidth="1"/>
    <col min="11273" max="11273" width="12.140625" style="15" customWidth="1"/>
    <col min="11274" max="11274" width="11.7109375" style="15" customWidth="1"/>
    <col min="11275" max="11275" width="12.85546875" style="15" customWidth="1"/>
    <col min="11276" max="11276" width="13.85546875" style="15" customWidth="1"/>
    <col min="11277" max="11521" width="9.140625" style="15"/>
    <col min="11522" max="11522" width="5.85546875" style="15" customWidth="1"/>
    <col min="11523" max="11523" width="30" style="15" customWidth="1"/>
    <col min="11524" max="11524" width="7.85546875" style="15" customWidth="1"/>
    <col min="11525" max="11525" width="11.5703125" style="15" customWidth="1"/>
    <col min="11526" max="11526" width="11.28515625" style="15" customWidth="1"/>
    <col min="11527" max="11527" width="11.42578125" style="15" customWidth="1"/>
    <col min="11528" max="11528" width="10.85546875" style="15" customWidth="1"/>
    <col min="11529" max="11529" width="12.140625" style="15" customWidth="1"/>
    <col min="11530" max="11530" width="11.7109375" style="15" customWidth="1"/>
    <col min="11531" max="11531" width="12.85546875" style="15" customWidth="1"/>
    <col min="11532" max="11532" width="13.85546875" style="15" customWidth="1"/>
    <col min="11533" max="11777" width="9.140625" style="15"/>
    <col min="11778" max="11778" width="5.85546875" style="15" customWidth="1"/>
    <col min="11779" max="11779" width="30" style="15" customWidth="1"/>
    <col min="11780" max="11780" width="7.85546875" style="15" customWidth="1"/>
    <col min="11781" max="11781" width="11.5703125" style="15" customWidth="1"/>
    <col min="11782" max="11782" width="11.28515625" style="15" customWidth="1"/>
    <col min="11783" max="11783" width="11.42578125" style="15" customWidth="1"/>
    <col min="11784" max="11784" width="10.85546875" style="15" customWidth="1"/>
    <col min="11785" max="11785" width="12.140625" style="15" customWidth="1"/>
    <col min="11786" max="11786" width="11.7109375" style="15" customWidth="1"/>
    <col min="11787" max="11787" width="12.85546875" style="15" customWidth="1"/>
    <col min="11788" max="11788" width="13.85546875" style="15" customWidth="1"/>
    <col min="11789" max="12033" width="9.140625" style="15"/>
    <col min="12034" max="12034" width="5.85546875" style="15" customWidth="1"/>
    <col min="12035" max="12035" width="30" style="15" customWidth="1"/>
    <col min="12036" max="12036" width="7.85546875" style="15" customWidth="1"/>
    <col min="12037" max="12037" width="11.5703125" style="15" customWidth="1"/>
    <col min="12038" max="12038" width="11.28515625" style="15" customWidth="1"/>
    <col min="12039" max="12039" width="11.42578125" style="15" customWidth="1"/>
    <col min="12040" max="12040" width="10.85546875" style="15" customWidth="1"/>
    <col min="12041" max="12041" width="12.140625" style="15" customWidth="1"/>
    <col min="12042" max="12042" width="11.7109375" style="15" customWidth="1"/>
    <col min="12043" max="12043" width="12.85546875" style="15" customWidth="1"/>
    <col min="12044" max="12044" width="13.85546875" style="15" customWidth="1"/>
    <col min="12045" max="12289" width="9.140625" style="15"/>
    <col min="12290" max="12290" width="5.85546875" style="15" customWidth="1"/>
    <col min="12291" max="12291" width="30" style="15" customWidth="1"/>
    <col min="12292" max="12292" width="7.85546875" style="15" customWidth="1"/>
    <col min="12293" max="12293" width="11.5703125" style="15" customWidth="1"/>
    <col min="12294" max="12294" width="11.28515625" style="15" customWidth="1"/>
    <col min="12295" max="12295" width="11.42578125" style="15" customWidth="1"/>
    <col min="12296" max="12296" width="10.85546875" style="15" customWidth="1"/>
    <col min="12297" max="12297" width="12.140625" style="15" customWidth="1"/>
    <col min="12298" max="12298" width="11.7109375" style="15" customWidth="1"/>
    <col min="12299" max="12299" width="12.85546875" style="15" customWidth="1"/>
    <col min="12300" max="12300" width="13.85546875" style="15" customWidth="1"/>
    <col min="12301" max="12545" width="9.140625" style="15"/>
    <col min="12546" max="12546" width="5.85546875" style="15" customWidth="1"/>
    <col min="12547" max="12547" width="30" style="15" customWidth="1"/>
    <col min="12548" max="12548" width="7.85546875" style="15" customWidth="1"/>
    <col min="12549" max="12549" width="11.5703125" style="15" customWidth="1"/>
    <col min="12550" max="12550" width="11.28515625" style="15" customWidth="1"/>
    <col min="12551" max="12551" width="11.42578125" style="15" customWidth="1"/>
    <col min="12552" max="12552" width="10.85546875" style="15" customWidth="1"/>
    <col min="12553" max="12553" width="12.140625" style="15" customWidth="1"/>
    <col min="12554" max="12554" width="11.7109375" style="15" customWidth="1"/>
    <col min="12555" max="12555" width="12.85546875" style="15" customWidth="1"/>
    <col min="12556" max="12556" width="13.85546875" style="15" customWidth="1"/>
    <col min="12557" max="12801" width="9.140625" style="15"/>
    <col min="12802" max="12802" width="5.85546875" style="15" customWidth="1"/>
    <col min="12803" max="12803" width="30" style="15" customWidth="1"/>
    <col min="12804" max="12804" width="7.85546875" style="15" customWidth="1"/>
    <col min="12805" max="12805" width="11.5703125" style="15" customWidth="1"/>
    <col min="12806" max="12806" width="11.28515625" style="15" customWidth="1"/>
    <col min="12807" max="12807" width="11.42578125" style="15" customWidth="1"/>
    <col min="12808" max="12808" width="10.85546875" style="15" customWidth="1"/>
    <col min="12809" max="12809" width="12.140625" style="15" customWidth="1"/>
    <col min="12810" max="12810" width="11.7109375" style="15" customWidth="1"/>
    <col min="12811" max="12811" width="12.85546875" style="15" customWidth="1"/>
    <col min="12812" max="12812" width="13.85546875" style="15" customWidth="1"/>
    <col min="12813" max="13057" width="9.140625" style="15"/>
    <col min="13058" max="13058" width="5.85546875" style="15" customWidth="1"/>
    <col min="13059" max="13059" width="30" style="15" customWidth="1"/>
    <col min="13060" max="13060" width="7.85546875" style="15" customWidth="1"/>
    <col min="13061" max="13061" width="11.5703125" style="15" customWidth="1"/>
    <col min="13062" max="13062" width="11.28515625" style="15" customWidth="1"/>
    <col min="13063" max="13063" width="11.42578125" style="15" customWidth="1"/>
    <col min="13064" max="13064" width="10.85546875" style="15" customWidth="1"/>
    <col min="13065" max="13065" width="12.140625" style="15" customWidth="1"/>
    <col min="13066" max="13066" width="11.7109375" style="15" customWidth="1"/>
    <col min="13067" max="13067" width="12.85546875" style="15" customWidth="1"/>
    <col min="13068" max="13068" width="13.85546875" style="15" customWidth="1"/>
    <col min="13069" max="13313" width="9.140625" style="15"/>
    <col min="13314" max="13314" width="5.85546875" style="15" customWidth="1"/>
    <col min="13315" max="13315" width="30" style="15" customWidth="1"/>
    <col min="13316" max="13316" width="7.85546875" style="15" customWidth="1"/>
    <col min="13317" max="13317" width="11.5703125" style="15" customWidth="1"/>
    <col min="13318" max="13318" width="11.28515625" style="15" customWidth="1"/>
    <col min="13319" max="13319" width="11.42578125" style="15" customWidth="1"/>
    <col min="13320" max="13320" width="10.85546875" style="15" customWidth="1"/>
    <col min="13321" max="13321" width="12.140625" style="15" customWidth="1"/>
    <col min="13322" max="13322" width="11.7109375" style="15" customWidth="1"/>
    <col min="13323" max="13323" width="12.85546875" style="15" customWidth="1"/>
    <col min="13324" max="13324" width="13.85546875" style="15" customWidth="1"/>
    <col min="13325" max="13569" width="9.140625" style="15"/>
    <col min="13570" max="13570" width="5.85546875" style="15" customWidth="1"/>
    <col min="13571" max="13571" width="30" style="15" customWidth="1"/>
    <col min="13572" max="13572" width="7.85546875" style="15" customWidth="1"/>
    <col min="13573" max="13573" width="11.5703125" style="15" customWidth="1"/>
    <col min="13574" max="13574" width="11.28515625" style="15" customWidth="1"/>
    <col min="13575" max="13575" width="11.42578125" style="15" customWidth="1"/>
    <col min="13576" max="13576" width="10.85546875" style="15" customWidth="1"/>
    <col min="13577" max="13577" width="12.140625" style="15" customWidth="1"/>
    <col min="13578" max="13578" width="11.7109375" style="15" customWidth="1"/>
    <col min="13579" max="13579" width="12.85546875" style="15" customWidth="1"/>
    <col min="13580" max="13580" width="13.85546875" style="15" customWidth="1"/>
    <col min="13581" max="13825" width="9.140625" style="15"/>
    <col min="13826" max="13826" width="5.85546875" style="15" customWidth="1"/>
    <col min="13827" max="13827" width="30" style="15" customWidth="1"/>
    <col min="13828" max="13828" width="7.85546875" style="15" customWidth="1"/>
    <col min="13829" max="13829" width="11.5703125" style="15" customWidth="1"/>
    <col min="13830" max="13830" width="11.28515625" style="15" customWidth="1"/>
    <col min="13831" max="13831" width="11.42578125" style="15" customWidth="1"/>
    <col min="13832" max="13832" width="10.85546875" style="15" customWidth="1"/>
    <col min="13833" max="13833" width="12.140625" style="15" customWidth="1"/>
    <col min="13834" max="13834" width="11.7109375" style="15" customWidth="1"/>
    <col min="13835" max="13835" width="12.85546875" style="15" customWidth="1"/>
    <col min="13836" max="13836" width="13.85546875" style="15" customWidth="1"/>
    <col min="13837" max="14081" width="9.140625" style="15"/>
    <col min="14082" max="14082" width="5.85546875" style="15" customWidth="1"/>
    <col min="14083" max="14083" width="30" style="15" customWidth="1"/>
    <col min="14084" max="14084" width="7.85546875" style="15" customWidth="1"/>
    <col min="14085" max="14085" width="11.5703125" style="15" customWidth="1"/>
    <col min="14086" max="14086" width="11.28515625" style="15" customWidth="1"/>
    <col min="14087" max="14087" width="11.42578125" style="15" customWidth="1"/>
    <col min="14088" max="14088" width="10.85546875" style="15" customWidth="1"/>
    <col min="14089" max="14089" width="12.140625" style="15" customWidth="1"/>
    <col min="14090" max="14090" width="11.7109375" style="15" customWidth="1"/>
    <col min="14091" max="14091" width="12.85546875" style="15" customWidth="1"/>
    <col min="14092" max="14092" width="13.85546875" style="15" customWidth="1"/>
    <col min="14093" max="14337" width="9.140625" style="15"/>
    <col min="14338" max="14338" width="5.85546875" style="15" customWidth="1"/>
    <col min="14339" max="14339" width="30" style="15" customWidth="1"/>
    <col min="14340" max="14340" width="7.85546875" style="15" customWidth="1"/>
    <col min="14341" max="14341" width="11.5703125" style="15" customWidth="1"/>
    <col min="14342" max="14342" width="11.28515625" style="15" customWidth="1"/>
    <col min="14343" max="14343" width="11.42578125" style="15" customWidth="1"/>
    <col min="14344" max="14344" width="10.85546875" style="15" customWidth="1"/>
    <col min="14345" max="14345" width="12.140625" style="15" customWidth="1"/>
    <col min="14346" max="14346" width="11.7109375" style="15" customWidth="1"/>
    <col min="14347" max="14347" width="12.85546875" style="15" customWidth="1"/>
    <col min="14348" max="14348" width="13.85546875" style="15" customWidth="1"/>
    <col min="14349" max="14593" width="9.140625" style="15"/>
    <col min="14594" max="14594" width="5.85546875" style="15" customWidth="1"/>
    <col min="14595" max="14595" width="30" style="15" customWidth="1"/>
    <col min="14596" max="14596" width="7.85546875" style="15" customWidth="1"/>
    <col min="14597" max="14597" width="11.5703125" style="15" customWidth="1"/>
    <col min="14598" max="14598" width="11.28515625" style="15" customWidth="1"/>
    <col min="14599" max="14599" width="11.42578125" style="15" customWidth="1"/>
    <col min="14600" max="14600" width="10.85546875" style="15" customWidth="1"/>
    <col min="14601" max="14601" width="12.140625" style="15" customWidth="1"/>
    <col min="14602" max="14602" width="11.7109375" style="15" customWidth="1"/>
    <col min="14603" max="14603" width="12.85546875" style="15" customWidth="1"/>
    <col min="14604" max="14604" width="13.85546875" style="15" customWidth="1"/>
    <col min="14605" max="14849" width="9.140625" style="15"/>
    <col min="14850" max="14850" width="5.85546875" style="15" customWidth="1"/>
    <col min="14851" max="14851" width="30" style="15" customWidth="1"/>
    <col min="14852" max="14852" width="7.85546875" style="15" customWidth="1"/>
    <col min="14853" max="14853" width="11.5703125" style="15" customWidth="1"/>
    <col min="14854" max="14854" width="11.28515625" style="15" customWidth="1"/>
    <col min="14855" max="14855" width="11.42578125" style="15" customWidth="1"/>
    <col min="14856" max="14856" width="10.85546875" style="15" customWidth="1"/>
    <col min="14857" max="14857" width="12.140625" style="15" customWidth="1"/>
    <col min="14858" max="14858" width="11.7109375" style="15" customWidth="1"/>
    <col min="14859" max="14859" width="12.85546875" style="15" customWidth="1"/>
    <col min="14860" max="14860" width="13.85546875" style="15" customWidth="1"/>
    <col min="14861" max="15105" width="9.140625" style="15"/>
    <col min="15106" max="15106" width="5.85546875" style="15" customWidth="1"/>
    <col min="15107" max="15107" width="30" style="15" customWidth="1"/>
    <col min="15108" max="15108" width="7.85546875" style="15" customWidth="1"/>
    <col min="15109" max="15109" width="11.5703125" style="15" customWidth="1"/>
    <col min="15110" max="15110" width="11.28515625" style="15" customWidth="1"/>
    <col min="15111" max="15111" width="11.42578125" style="15" customWidth="1"/>
    <col min="15112" max="15112" width="10.85546875" style="15" customWidth="1"/>
    <col min="15113" max="15113" width="12.140625" style="15" customWidth="1"/>
    <col min="15114" max="15114" width="11.7109375" style="15" customWidth="1"/>
    <col min="15115" max="15115" width="12.85546875" style="15" customWidth="1"/>
    <col min="15116" max="15116" width="13.85546875" style="15" customWidth="1"/>
    <col min="15117" max="15361" width="9.140625" style="15"/>
    <col min="15362" max="15362" width="5.85546875" style="15" customWidth="1"/>
    <col min="15363" max="15363" width="30" style="15" customWidth="1"/>
    <col min="15364" max="15364" width="7.85546875" style="15" customWidth="1"/>
    <col min="15365" max="15365" width="11.5703125" style="15" customWidth="1"/>
    <col min="15366" max="15366" width="11.28515625" style="15" customWidth="1"/>
    <col min="15367" max="15367" width="11.42578125" style="15" customWidth="1"/>
    <col min="15368" max="15368" width="10.85546875" style="15" customWidth="1"/>
    <col min="15369" max="15369" width="12.140625" style="15" customWidth="1"/>
    <col min="15370" max="15370" width="11.7109375" style="15" customWidth="1"/>
    <col min="15371" max="15371" width="12.85546875" style="15" customWidth="1"/>
    <col min="15372" max="15372" width="13.85546875" style="15" customWidth="1"/>
    <col min="15373" max="15617" width="9.140625" style="15"/>
    <col min="15618" max="15618" width="5.85546875" style="15" customWidth="1"/>
    <col min="15619" max="15619" width="30" style="15" customWidth="1"/>
    <col min="15620" max="15620" width="7.85546875" style="15" customWidth="1"/>
    <col min="15621" max="15621" width="11.5703125" style="15" customWidth="1"/>
    <col min="15622" max="15622" width="11.28515625" style="15" customWidth="1"/>
    <col min="15623" max="15623" width="11.42578125" style="15" customWidth="1"/>
    <col min="15624" max="15624" width="10.85546875" style="15" customWidth="1"/>
    <col min="15625" max="15625" width="12.140625" style="15" customWidth="1"/>
    <col min="15626" max="15626" width="11.7109375" style="15" customWidth="1"/>
    <col min="15627" max="15627" width="12.85546875" style="15" customWidth="1"/>
    <col min="15628" max="15628" width="13.85546875" style="15" customWidth="1"/>
    <col min="15629" max="15873" width="9.140625" style="15"/>
    <col min="15874" max="15874" width="5.85546875" style="15" customWidth="1"/>
    <col min="15875" max="15875" width="30" style="15" customWidth="1"/>
    <col min="15876" max="15876" width="7.85546875" style="15" customWidth="1"/>
    <col min="15877" max="15877" width="11.5703125" style="15" customWidth="1"/>
    <col min="15878" max="15878" width="11.28515625" style="15" customWidth="1"/>
    <col min="15879" max="15879" width="11.42578125" style="15" customWidth="1"/>
    <col min="15880" max="15880" width="10.85546875" style="15" customWidth="1"/>
    <col min="15881" max="15881" width="12.140625" style="15" customWidth="1"/>
    <col min="15882" max="15882" width="11.7109375" style="15" customWidth="1"/>
    <col min="15883" max="15883" width="12.85546875" style="15" customWidth="1"/>
    <col min="15884" max="15884" width="13.85546875" style="15" customWidth="1"/>
    <col min="15885" max="16129" width="9.140625" style="15"/>
    <col min="16130" max="16130" width="5.85546875" style="15" customWidth="1"/>
    <col min="16131" max="16131" width="30" style="15" customWidth="1"/>
    <col min="16132" max="16132" width="7.85546875" style="15" customWidth="1"/>
    <col min="16133" max="16133" width="11.5703125" style="15" customWidth="1"/>
    <col min="16134" max="16134" width="11.28515625" style="15" customWidth="1"/>
    <col min="16135" max="16135" width="11.42578125" style="15" customWidth="1"/>
    <col min="16136" max="16136" width="10.85546875" style="15" customWidth="1"/>
    <col min="16137" max="16137" width="12.140625" style="15" customWidth="1"/>
    <col min="16138" max="16138" width="11.7109375" style="15" customWidth="1"/>
    <col min="16139" max="16139" width="12.85546875" style="15" customWidth="1"/>
    <col min="16140" max="16140" width="13.85546875" style="15" customWidth="1"/>
    <col min="16141" max="16384" width="9.140625" style="15"/>
  </cols>
  <sheetData>
    <row r="1" spans="1:12" s="14" customFormat="1" ht="23.25" customHeight="1">
      <c r="A1" s="309" t="s">
        <v>147</v>
      </c>
      <c r="B1" s="309"/>
      <c r="C1" s="309"/>
      <c r="D1" s="309"/>
      <c r="E1" s="309"/>
      <c r="F1" s="309"/>
      <c r="G1" s="309"/>
      <c r="H1" s="309"/>
      <c r="I1" s="309"/>
      <c r="J1" s="309"/>
      <c r="K1" s="309"/>
      <c r="L1" s="309"/>
    </row>
    <row r="2" spans="1:12" s="14" customFormat="1" ht="120.75" customHeight="1">
      <c r="A2" s="310" t="s">
        <v>382</v>
      </c>
      <c r="B2" s="310"/>
      <c r="C2" s="311"/>
      <c r="D2" s="311"/>
      <c r="E2" s="311"/>
      <c r="F2" s="311"/>
      <c r="G2" s="311"/>
      <c r="H2" s="311"/>
      <c r="I2" s="311"/>
      <c r="J2" s="311"/>
      <c r="K2" s="311"/>
      <c r="L2" s="311"/>
    </row>
    <row r="3" spans="1:12" ht="23.25" customHeight="1">
      <c r="A3" s="15"/>
      <c r="B3" s="15"/>
      <c r="J3" s="18">
        <v>26</v>
      </c>
      <c r="K3" s="18">
        <v>1300000</v>
      </c>
    </row>
    <row r="4" spans="1:12" s="19" customFormat="1" ht="30.75" customHeight="1">
      <c r="A4" s="312" t="s">
        <v>148</v>
      </c>
      <c r="B4" s="315" t="s">
        <v>1</v>
      </c>
      <c r="C4" s="312" t="s">
        <v>149</v>
      </c>
      <c r="D4" s="313" t="s">
        <v>150</v>
      </c>
      <c r="E4" s="314" t="s">
        <v>151</v>
      </c>
      <c r="F4" s="314" t="s">
        <v>152</v>
      </c>
      <c r="G4" s="314" t="s">
        <v>153</v>
      </c>
      <c r="H4" s="314" t="s">
        <v>154</v>
      </c>
      <c r="I4" s="314" t="s">
        <v>155</v>
      </c>
      <c r="J4" s="308" t="s">
        <v>156</v>
      </c>
      <c r="K4" s="308" t="s">
        <v>157</v>
      </c>
      <c r="L4" s="308" t="s">
        <v>158</v>
      </c>
    </row>
    <row r="5" spans="1:12" s="19" customFormat="1" ht="17.25" customHeight="1">
      <c r="A5" s="312"/>
      <c r="B5" s="316"/>
      <c r="C5" s="312"/>
      <c r="D5" s="313"/>
      <c r="E5" s="314"/>
      <c r="F5" s="314"/>
      <c r="G5" s="314"/>
      <c r="H5" s="314"/>
      <c r="I5" s="314"/>
      <c r="J5" s="308"/>
      <c r="K5" s="308"/>
      <c r="L5" s="308"/>
    </row>
    <row r="6" spans="1:12" s="16" customFormat="1" ht="29.25" customHeight="1">
      <c r="A6" s="20" t="s">
        <v>159</v>
      </c>
      <c r="B6" s="20"/>
      <c r="C6" s="299" t="s">
        <v>160</v>
      </c>
      <c r="D6" s="299" t="s">
        <v>161</v>
      </c>
      <c r="E6" s="299" t="s">
        <v>162</v>
      </c>
      <c r="F6" s="300" t="s">
        <v>163</v>
      </c>
      <c r="G6" s="299" t="s">
        <v>164</v>
      </c>
      <c r="H6" s="299" t="s">
        <v>165</v>
      </c>
      <c r="I6" s="299" t="s">
        <v>166</v>
      </c>
      <c r="J6" s="299" t="s">
        <v>465</v>
      </c>
      <c r="K6" s="299" t="s">
        <v>466</v>
      </c>
      <c r="L6" s="299" t="s">
        <v>467</v>
      </c>
    </row>
    <row r="7" spans="1:12" s="26" customFormat="1" ht="21.75" customHeight="1">
      <c r="A7" s="21" t="s">
        <v>167</v>
      </c>
      <c r="B7" s="21"/>
      <c r="C7" s="22" t="s">
        <v>168</v>
      </c>
      <c r="D7" s="23"/>
      <c r="E7" s="24"/>
      <c r="F7" s="25">
        <v>0.11</v>
      </c>
      <c r="G7" s="25">
        <v>0.4</v>
      </c>
      <c r="H7" s="25">
        <v>0.1</v>
      </c>
      <c r="I7" s="24"/>
      <c r="J7" s="292">
        <v>0.23499999999999999</v>
      </c>
      <c r="K7" s="291"/>
      <c r="L7" s="291"/>
    </row>
    <row r="8" spans="1:12" s="26" customFormat="1" ht="35.25" customHeight="1">
      <c r="A8" s="23">
        <v>1</v>
      </c>
      <c r="B8" s="239" t="s">
        <v>369</v>
      </c>
      <c r="C8" s="239" t="s">
        <v>370</v>
      </c>
      <c r="D8" s="27">
        <v>2.41</v>
      </c>
      <c r="E8" s="28">
        <f t="shared" ref="E8:E13" si="0">$K$3*D8</f>
        <v>3133000</v>
      </c>
      <c r="F8" s="24">
        <f>E8*$F$7</f>
        <v>344630</v>
      </c>
      <c r="G8" s="24">
        <f t="shared" ref="G8:G13" si="1">$K$3*$G$7</f>
        <v>520000</v>
      </c>
      <c r="H8" s="24">
        <f t="shared" ref="H8:H13" si="2">$K$3*$H$7</f>
        <v>130000</v>
      </c>
      <c r="I8" s="24">
        <f>$K$3*0/5</f>
        <v>0</v>
      </c>
      <c r="J8" s="28">
        <f>E8*$J$7</f>
        <v>736255</v>
      </c>
      <c r="K8" s="28">
        <f>SUM(E8:J8)</f>
        <v>4863885</v>
      </c>
      <c r="L8" s="29">
        <f t="shared" ref="L8:L13" si="3">K8/$J$3</f>
        <v>187072.5</v>
      </c>
    </row>
    <row r="9" spans="1:12" s="26" customFormat="1" ht="35.25" customHeight="1">
      <c r="A9" s="23">
        <v>2</v>
      </c>
      <c r="B9" s="239" t="s">
        <v>371</v>
      </c>
      <c r="C9" s="239" t="s">
        <v>372</v>
      </c>
      <c r="D9" s="27">
        <v>2.72</v>
      </c>
      <c r="E9" s="28">
        <f t="shared" si="0"/>
        <v>3536000.0000000005</v>
      </c>
      <c r="F9" s="24">
        <f t="shared" ref="F9:F20" si="4">E9*$F$7</f>
        <v>388960.00000000006</v>
      </c>
      <c r="G9" s="24">
        <f t="shared" si="1"/>
        <v>520000</v>
      </c>
      <c r="H9" s="24">
        <f t="shared" si="2"/>
        <v>130000</v>
      </c>
      <c r="I9" s="24">
        <f t="shared" ref="I9:I20" si="5">$K$3*0/5</f>
        <v>0</v>
      </c>
      <c r="J9" s="28">
        <f t="shared" ref="J9:J20" si="6">E9*$J$7</f>
        <v>830960.00000000012</v>
      </c>
      <c r="K9" s="28">
        <f t="shared" ref="K9:K20" si="7">SUM(E9:J9)</f>
        <v>5405920</v>
      </c>
      <c r="L9" s="29">
        <f t="shared" si="3"/>
        <v>207920</v>
      </c>
    </row>
    <row r="10" spans="1:12" s="26" customFormat="1" ht="35.25" customHeight="1">
      <c r="A10" s="23">
        <v>3</v>
      </c>
      <c r="B10" s="239" t="s">
        <v>373</v>
      </c>
      <c r="C10" s="239" t="s">
        <v>374</v>
      </c>
      <c r="D10" s="27">
        <v>2.34</v>
      </c>
      <c r="E10" s="28">
        <f t="shared" si="0"/>
        <v>3042000</v>
      </c>
      <c r="F10" s="24">
        <f t="shared" si="4"/>
        <v>334620</v>
      </c>
      <c r="G10" s="24">
        <f t="shared" si="1"/>
        <v>520000</v>
      </c>
      <c r="H10" s="24">
        <f t="shared" si="2"/>
        <v>130000</v>
      </c>
      <c r="I10" s="24">
        <f t="shared" si="5"/>
        <v>0</v>
      </c>
      <c r="J10" s="28">
        <f t="shared" si="6"/>
        <v>714870</v>
      </c>
      <c r="K10" s="28">
        <f t="shared" si="7"/>
        <v>4741490</v>
      </c>
      <c r="L10" s="29">
        <f t="shared" si="3"/>
        <v>182365</v>
      </c>
    </row>
    <row r="11" spans="1:12" s="26" customFormat="1" ht="35.25" customHeight="1">
      <c r="A11" s="23">
        <v>4</v>
      </c>
      <c r="B11" s="239" t="s">
        <v>375</v>
      </c>
      <c r="C11" s="239" t="s">
        <v>376</v>
      </c>
      <c r="D11" s="27">
        <v>2.67</v>
      </c>
      <c r="E11" s="28">
        <f t="shared" si="0"/>
        <v>3471000</v>
      </c>
      <c r="F11" s="24">
        <f t="shared" si="4"/>
        <v>381810</v>
      </c>
      <c r="G11" s="24">
        <f t="shared" si="1"/>
        <v>520000</v>
      </c>
      <c r="H11" s="24">
        <f t="shared" si="2"/>
        <v>130000</v>
      </c>
      <c r="I11" s="24">
        <f t="shared" si="5"/>
        <v>0</v>
      </c>
      <c r="J11" s="28">
        <f t="shared" si="6"/>
        <v>815685</v>
      </c>
      <c r="K11" s="28">
        <f t="shared" si="7"/>
        <v>5318495</v>
      </c>
      <c r="L11" s="29">
        <f t="shared" si="3"/>
        <v>204557.5</v>
      </c>
    </row>
    <row r="12" spans="1:12" s="26" customFormat="1" ht="35.25" customHeight="1">
      <c r="A12" s="23">
        <v>5</v>
      </c>
      <c r="B12" s="239" t="s">
        <v>377</v>
      </c>
      <c r="C12" s="239" t="s">
        <v>378</v>
      </c>
      <c r="D12" s="27">
        <v>3</v>
      </c>
      <c r="E12" s="28">
        <f t="shared" si="0"/>
        <v>3900000</v>
      </c>
      <c r="F12" s="24">
        <f t="shared" si="4"/>
        <v>429000</v>
      </c>
      <c r="G12" s="24">
        <f t="shared" si="1"/>
        <v>520000</v>
      </c>
      <c r="H12" s="24">
        <f t="shared" si="2"/>
        <v>130000</v>
      </c>
      <c r="I12" s="24">
        <f t="shared" si="5"/>
        <v>0</v>
      </c>
      <c r="J12" s="28">
        <f t="shared" si="6"/>
        <v>916500</v>
      </c>
      <c r="K12" s="28">
        <f t="shared" si="7"/>
        <v>5895500</v>
      </c>
      <c r="L12" s="29">
        <f t="shared" si="3"/>
        <v>226750</v>
      </c>
    </row>
    <row r="13" spans="1:12" s="26" customFormat="1" ht="35.25" customHeight="1">
      <c r="A13" s="23">
        <v>6</v>
      </c>
      <c r="B13" s="239" t="s">
        <v>379</v>
      </c>
      <c r="C13" s="239" t="s">
        <v>380</v>
      </c>
      <c r="D13" s="27">
        <v>3.33</v>
      </c>
      <c r="E13" s="28">
        <f t="shared" si="0"/>
        <v>4329000</v>
      </c>
      <c r="F13" s="24">
        <f t="shared" si="4"/>
        <v>476190</v>
      </c>
      <c r="G13" s="24">
        <f t="shared" si="1"/>
        <v>520000</v>
      </c>
      <c r="H13" s="24">
        <f t="shared" si="2"/>
        <v>130000</v>
      </c>
      <c r="I13" s="24">
        <f t="shared" si="5"/>
        <v>0</v>
      </c>
      <c r="J13" s="28">
        <f t="shared" si="6"/>
        <v>1017315</v>
      </c>
      <c r="K13" s="28">
        <f t="shared" si="7"/>
        <v>6472505</v>
      </c>
      <c r="L13" s="29">
        <f t="shared" si="3"/>
        <v>248942.5</v>
      </c>
    </row>
    <row r="14" spans="1:12" s="26" customFormat="1" ht="21.75" customHeight="1">
      <c r="A14" s="21" t="s">
        <v>169</v>
      </c>
      <c r="B14" s="21"/>
      <c r="C14" s="22" t="s">
        <v>170</v>
      </c>
      <c r="D14" s="23"/>
      <c r="E14" s="24"/>
      <c r="F14" s="24"/>
      <c r="G14" s="25"/>
      <c r="H14" s="25"/>
      <c r="I14" s="24"/>
      <c r="J14" s="28"/>
      <c r="K14" s="28"/>
      <c r="L14" s="24"/>
    </row>
    <row r="15" spans="1:12" s="26" customFormat="1" ht="30.75" customHeight="1">
      <c r="A15" s="23">
        <v>1</v>
      </c>
      <c r="B15" s="239" t="s">
        <v>459</v>
      </c>
      <c r="C15" s="239" t="s">
        <v>370</v>
      </c>
      <c r="D15" s="23">
        <v>2.41</v>
      </c>
      <c r="E15" s="28">
        <f t="shared" ref="E15:E20" si="8">$K$3*D15</f>
        <v>3133000</v>
      </c>
      <c r="F15" s="24">
        <f t="shared" si="4"/>
        <v>344630</v>
      </c>
      <c r="G15" s="24">
        <f>0*$K$3</f>
        <v>0</v>
      </c>
      <c r="H15" s="24">
        <f t="shared" ref="H15:H20" si="9">$K$3*$H$7</f>
        <v>130000</v>
      </c>
      <c r="I15" s="24">
        <f t="shared" si="5"/>
        <v>0</v>
      </c>
      <c r="J15" s="28">
        <f t="shared" si="6"/>
        <v>736255</v>
      </c>
      <c r="K15" s="28">
        <f t="shared" si="7"/>
        <v>4343885</v>
      </c>
      <c r="L15" s="29">
        <f t="shared" ref="L15:L20" si="10">K15/$J$3</f>
        <v>167072.5</v>
      </c>
    </row>
    <row r="16" spans="1:12" s="26" customFormat="1" ht="30.75" customHeight="1">
      <c r="A16" s="23">
        <v>2</v>
      </c>
      <c r="B16" s="239" t="s">
        <v>460</v>
      </c>
      <c r="C16" s="239" t="s">
        <v>374</v>
      </c>
      <c r="D16" s="23">
        <v>2.34</v>
      </c>
      <c r="E16" s="28">
        <f t="shared" si="8"/>
        <v>3042000</v>
      </c>
      <c r="F16" s="24">
        <f t="shared" si="4"/>
        <v>334620</v>
      </c>
      <c r="G16" s="24">
        <v>0</v>
      </c>
      <c r="H16" s="24">
        <f t="shared" si="9"/>
        <v>130000</v>
      </c>
      <c r="I16" s="24">
        <f t="shared" si="5"/>
        <v>0</v>
      </c>
      <c r="J16" s="28">
        <f t="shared" si="6"/>
        <v>714870</v>
      </c>
      <c r="K16" s="28">
        <f t="shared" si="7"/>
        <v>4221490</v>
      </c>
      <c r="L16" s="29">
        <f t="shared" si="10"/>
        <v>162365</v>
      </c>
    </row>
    <row r="17" spans="1:12" s="26" customFormat="1" ht="33" customHeight="1">
      <c r="A17" s="23">
        <v>3</v>
      </c>
      <c r="B17" s="239" t="s">
        <v>461</v>
      </c>
      <c r="C17" s="239" t="s">
        <v>376</v>
      </c>
      <c r="D17" s="27">
        <v>2.67</v>
      </c>
      <c r="E17" s="28">
        <f t="shared" si="8"/>
        <v>3471000</v>
      </c>
      <c r="F17" s="24">
        <f t="shared" si="4"/>
        <v>381810</v>
      </c>
      <c r="G17" s="24">
        <f>0*$K$3</f>
        <v>0</v>
      </c>
      <c r="H17" s="24">
        <f t="shared" si="9"/>
        <v>130000</v>
      </c>
      <c r="I17" s="24">
        <f t="shared" si="5"/>
        <v>0</v>
      </c>
      <c r="J17" s="28">
        <f t="shared" si="6"/>
        <v>815685</v>
      </c>
      <c r="K17" s="28">
        <f t="shared" si="7"/>
        <v>4798495</v>
      </c>
      <c r="L17" s="29">
        <f t="shared" si="10"/>
        <v>184557.5</v>
      </c>
    </row>
    <row r="18" spans="1:12" s="26" customFormat="1" ht="33" customHeight="1">
      <c r="A18" s="23">
        <v>4</v>
      </c>
      <c r="B18" s="239" t="s">
        <v>462</v>
      </c>
      <c r="C18" s="239" t="s">
        <v>378</v>
      </c>
      <c r="D18" s="27">
        <v>3</v>
      </c>
      <c r="E18" s="28">
        <f t="shared" si="8"/>
        <v>3900000</v>
      </c>
      <c r="F18" s="24">
        <f t="shared" si="4"/>
        <v>429000</v>
      </c>
      <c r="G18" s="24">
        <f>0*$K$3</f>
        <v>0</v>
      </c>
      <c r="H18" s="24">
        <f t="shared" si="9"/>
        <v>130000</v>
      </c>
      <c r="I18" s="24">
        <f t="shared" si="5"/>
        <v>0</v>
      </c>
      <c r="J18" s="28">
        <f t="shared" si="6"/>
        <v>916500</v>
      </c>
      <c r="K18" s="28">
        <f t="shared" si="7"/>
        <v>5375500</v>
      </c>
      <c r="L18" s="29">
        <f t="shared" si="10"/>
        <v>206750</v>
      </c>
    </row>
    <row r="19" spans="1:12" ht="33" customHeight="1">
      <c r="A19" s="30">
        <v>5</v>
      </c>
      <c r="B19" s="239" t="s">
        <v>463</v>
      </c>
      <c r="C19" s="239" t="s">
        <v>380</v>
      </c>
      <c r="D19" s="27">
        <v>3.33</v>
      </c>
      <c r="E19" s="28">
        <f t="shared" si="8"/>
        <v>4329000</v>
      </c>
      <c r="F19" s="24">
        <f t="shared" si="4"/>
        <v>476190</v>
      </c>
      <c r="G19" s="24">
        <f>0*$K$3</f>
        <v>0</v>
      </c>
      <c r="H19" s="24">
        <f t="shared" si="9"/>
        <v>130000</v>
      </c>
      <c r="I19" s="24">
        <f t="shared" si="5"/>
        <v>0</v>
      </c>
      <c r="J19" s="28">
        <f t="shared" si="6"/>
        <v>1017315</v>
      </c>
      <c r="K19" s="28">
        <f t="shared" si="7"/>
        <v>5952505</v>
      </c>
      <c r="L19" s="29">
        <f t="shared" si="10"/>
        <v>228942.5</v>
      </c>
    </row>
    <row r="20" spans="1:12" ht="33" customHeight="1">
      <c r="A20" s="23">
        <v>6</v>
      </c>
      <c r="B20" s="239" t="s">
        <v>464</v>
      </c>
      <c r="C20" s="239" t="s">
        <v>381</v>
      </c>
      <c r="D20" s="30">
        <v>3.66</v>
      </c>
      <c r="E20" s="31">
        <f t="shared" si="8"/>
        <v>4758000</v>
      </c>
      <c r="F20" s="24">
        <f t="shared" si="4"/>
        <v>523380</v>
      </c>
      <c r="G20" s="24">
        <f>0*$K$3</f>
        <v>0</v>
      </c>
      <c r="H20" s="24">
        <f t="shared" si="9"/>
        <v>130000</v>
      </c>
      <c r="I20" s="24">
        <f t="shared" si="5"/>
        <v>0</v>
      </c>
      <c r="J20" s="28">
        <f t="shared" si="6"/>
        <v>1118130</v>
      </c>
      <c r="K20" s="28">
        <f t="shared" si="7"/>
        <v>6529510</v>
      </c>
      <c r="L20" s="29">
        <f t="shared" si="10"/>
        <v>251135</v>
      </c>
    </row>
    <row r="23" spans="1:12">
      <c r="E23" s="32"/>
    </row>
  </sheetData>
  <mergeCells count="14">
    <mergeCell ref="J4:J5"/>
    <mergeCell ref="K4:K5"/>
    <mergeCell ref="L4:L5"/>
    <mergeCell ref="A1:L1"/>
    <mergeCell ref="A2:L2"/>
    <mergeCell ref="A4:A5"/>
    <mergeCell ref="C4:C5"/>
    <mergeCell ref="D4:D5"/>
    <mergeCell ref="E4:E5"/>
    <mergeCell ref="F4:F5"/>
    <mergeCell ref="G4:G5"/>
    <mergeCell ref="H4:H5"/>
    <mergeCell ref="I4:I5"/>
    <mergeCell ref="B4:B5"/>
  </mergeCells>
  <printOptions horizontalCentered="1"/>
  <pageMargins left="1.1599999999999999" right="0.25" top="0.59" bottom="0.47" header="0.5" footer="0.25"/>
  <pageSetup paperSize="9" scale="95" orientation="landscape" r:id="rId1"/>
  <headerFooter alignWithMargins="0">
    <oddFooter>&amp;C&amp;P - Đơn giá tiền lương</oddFooter>
  </headerFooter>
</worksheet>
</file>

<file path=xl/worksheets/sheet3.xml><?xml version="1.0" encoding="utf-8"?>
<worksheet xmlns="http://schemas.openxmlformats.org/spreadsheetml/2006/main" xmlns:r="http://schemas.openxmlformats.org/officeDocument/2006/relationships">
  <dimension ref="A1:I61"/>
  <sheetViews>
    <sheetView topLeftCell="A24" workbookViewId="0">
      <selection activeCell="J29" sqref="J29"/>
    </sheetView>
  </sheetViews>
  <sheetFormatPr defaultRowHeight="17.25" customHeight="1"/>
  <cols>
    <col min="1" max="1" width="6.42578125" style="5" customWidth="1"/>
    <col min="2" max="2" width="11" style="106" customWidth="1"/>
    <col min="3" max="3" width="27.42578125" style="5" customWidth="1"/>
    <col min="4" max="4" width="14.28515625" style="5" customWidth="1"/>
    <col min="5" max="5" width="13.42578125" style="5" customWidth="1"/>
    <col min="6" max="6" width="13.140625" style="164" bestFit="1" customWidth="1"/>
    <col min="7" max="7" width="12" style="5" customWidth="1"/>
    <col min="8" max="16384" width="9.140625" style="5"/>
  </cols>
  <sheetData>
    <row r="1" spans="1:9" ht="30.75" customHeight="1">
      <c r="A1" s="318" t="s">
        <v>356</v>
      </c>
      <c r="B1" s="318"/>
      <c r="C1" s="318"/>
      <c r="D1" s="318"/>
      <c r="E1" s="318"/>
      <c r="F1" s="318"/>
      <c r="G1" s="318"/>
      <c r="H1" s="161"/>
      <c r="I1" s="161"/>
    </row>
    <row r="2" spans="1:9" ht="17.25" customHeight="1">
      <c r="F2" s="317" t="s">
        <v>171</v>
      </c>
      <c r="G2" s="317"/>
    </row>
    <row r="3" spans="1:9" s="103" customFormat="1" ht="32.25" customHeight="1">
      <c r="A3" s="126" t="s">
        <v>0</v>
      </c>
      <c r="B3" s="125" t="s">
        <v>1</v>
      </c>
      <c r="C3" s="33" t="s">
        <v>2</v>
      </c>
      <c r="D3" s="33" t="s">
        <v>3</v>
      </c>
      <c r="E3" s="37" t="s">
        <v>14</v>
      </c>
      <c r="F3" s="34" t="s">
        <v>172</v>
      </c>
      <c r="G3" s="33" t="s">
        <v>173</v>
      </c>
    </row>
    <row r="4" spans="1:9" s="103" customFormat="1" ht="15.75">
      <c r="A4" s="126" t="s">
        <v>213</v>
      </c>
      <c r="B4" s="321" t="s">
        <v>351</v>
      </c>
      <c r="C4" s="322"/>
      <c r="D4" s="322"/>
      <c r="E4" s="322"/>
      <c r="F4" s="322"/>
      <c r="G4" s="128"/>
    </row>
    <row r="5" spans="1:9" s="103" customFormat="1" ht="31.5" customHeight="1">
      <c r="A5" s="109">
        <v>1</v>
      </c>
      <c r="B5" s="129" t="s">
        <v>258</v>
      </c>
      <c r="C5" s="112" t="s">
        <v>216</v>
      </c>
      <c r="D5" s="239" t="s">
        <v>369</v>
      </c>
      <c r="E5" s="130">
        <v>0.35</v>
      </c>
      <c r="F5" s="76">
        <f>VLOOKUP(D5,DGL!$B$8:$L$203,11,0)</f>
        <v>187072.5</v>
      </c>
      <c r="G5" s="131">
        <f t="shared" ref="G5:G12" si="0">E5*F5</f>
        <v>65475.374999999993</v>
      </c>
    </row>
    <row r="6" spans="1:9" s="103" customFormat="1" ht="32.25" customHeight="1">
      <c r="A6" s="109">
        <v>2</v>
      </c>
      <c r="B6" s="129" t="s">
        <v>259</v>
      </c>
      <c r="C6" s="112" t="s">
        <v>218</v>
      </c>
      <c r="D6" s="239" t="s">
        <v>369</v>
      </c>
      <c r="E6" s="130">
        <v>0.35</v>
      </c>
      <c r="F6" s="76">
        <f>VLOOKUP(D6,DGL!$B$8:$L$203,11,0)</f>
        <v>187072.5</v>
      </c>
      <c r="G6" s="131">
        <f t="shared" si="0"/>
        <v>65475.374999999993</v>
      </c>
    </row>
    <row r="7" spans="1:9" s="103" customFormat="1" ht="31.5">
      <c r="A7" s="109">
        <v>3</v>
      </c>
      <c r="B7" s="129" t="s">
        <v>260</v>
      </c>
      <c r="C7" s="112" t="s">
        <v>144</v>
      </c>
      <c r="D7" s="239" t="s">
        <v>373</v>
      </c>
      <c r="E7" s="130">
        <v>0.35</v>
      </c>
      <c r="F7" s="76">
        <f>VLOOKUP(D7,DGL!$B$8:$L$203,11,0)</f>
        <v>182365</v>
      </c>
      <c r="G7" s="131">
        <f t="shared" si="0"/>
        <v>63827.749999999993</v>
      </c>
    </row>
    <row r="8" spans="1:9" s="103" customFormat="1" ht="31.5">
      <c r="A8" s="109">
        <v>4</v>
      </c>
      <c r="B8" s="129" t="s">
        <v>261</v>
      </c>
      <c r="C8" s="112" t="s">
        <v>5</v>
      </c>
      <c r="D8" s="239" t="s">
        <v>373</v>
      </c>
      <c r="E8" s="130">
        <v>0.35</v>
      </c>
      <c r="F8" s="76">
        <f>VLOOKUP(D8,DGL!$B$8:$L$203,11,0)</f>
        <v>182365</v>
      </c>
      <c r="G8" s="131">
        <f t="shared" si="0"/>
        <v>63827.749999999993</v>
      </c>
    </row>
    <row r="9" spans="1:9" s="103" customFormat="1" ht="31.5">
      <c r="A9" s="132">
        <v>5</v>
      </c>
      <c r="B9" s="129" t="s">
        <v>262</v>
      </c>
      <c r="C9" s="133" t="s">
        <v>230</v>
      </c>
      <c r="D9" s="239" t="s">
        <v>373</v>
      </c>
      <c r="E9" s="130">
        <v>0.35</v>
      </c>
      <c r="F9" s="76">
        <f>VLOOKUP(D9,DGL!$B$8:$L$203,11,0)</f>
        <v>182365</v>
      </c>
      <c r="G9" s="131">
        <f t="shared" si="0"/>
        <v>63827.749999999993</v>
      </c>
    </row>
    <row r="10" spans="1:9" s="103" customFormat="1" ht="31.5">
      <c r="A10" s="109">
        <v>6</v>
      </c>
      <c r="B10" s="129" t="s">
        <v>384</v>
      </c>
      <c r="C10" s="112" t="s">
        <v>387</v>
      </c>
      <c r="D10" s="239" t="s">
        <v>373</v>
      </c>
      <c r="E10" s="130">
        <v>0.35</v>
      </c>
      <c r="F10" s="76">
        <f>VLOOKUP(D10,DGL!$B$8:$L$203,11,0)</f>
        <v>182365</v>
      </c>
      <c r="G10" s="131">
        <f t="shared" si="0"/>
        <v>63827.749999999993</v>
      </c>
    </row>
    <row r="11" spans="1:9" s="103" customFormat="1" ht="31.5">
      <c r="A11" s="109">
        <v>7</v>
      </c>
      <c r="B11" s="129" t="s">
        <v>385</v>
      </c>
      <c r="C11" s="112" t="s">
        <v>386</v>
      </c>
      <c r="D11" s="239" t="s">
        <v>373</v>
      </c>
      <c r="E11" s="130">
        <v>0.35</v>
      </c>
      <c r="F11" s="76">
        <f>VLOOKUP(D11,DGL!$B$8:$L$203,11,0)</f>
        <v>182365</v>
      </c>
      <c r="G11" s="131">
        <f t="shared" ref="G11" si="1">E11*F11</f>
        <v>63827.749999999993</v>
      </c>
    </row>
    <row r="12" spans="1:9" s="103" customFormat="1" ht="31.5">
      <c r="A12" s="132">
        <v>8</v>
      </c>
      <c r="B12" s="129" t="s">
        <v>388</v>
      </c>
      <c r="C12" s="112" t="s">
        <v>241</v>
      </c>
      <c r="D12" s="239" t="s">
        <v>373</v>
      </c>
      <c r="E12" s="130">
        <v>0.35</v>
      </c>
      <c r="F12" s="76">
        <f>VLOOKUP(D12,DGL!$B$8:$L$203,11,0)</f>
        <v>182365</v>
      </c>
      <c r="G12" s="131">
        <f t="shared" si="0"/>
        <v>63827.749999999993</v>
      </c>
    </row>
    <row r="13" spans="1:9" s="103" customFormat="1" ht="31.5">
      <c r="A13" s="109">
        <v>9</v>
      </c>
      <c r="B13" s="129" t="s">
        <v>389</v>
      </c>
      <c r="C13" s="112" t="s">
        <v>240</v>
      </c>
      <c r="D13" s="239" t="s">
        <v>373</v>
      </c>
      <c r="E13" s="130">
        <v>0.35</v>
      </c>
      <c r="F13" s="76">
        <f>VLOOKUP(D13,DGL!$B$8:$L$203,11,0)</f>
        <v>182365</v>
      </c>
      <c r="G13" s="131">
        <f t="shared" ref="G13" si="2">E13*F13</f>
        <v>63827.749999999993</v>
      </c>
    </row>
    <row r="14" spans="1:9" s="103" customFormat="1" ht="31.5">
      <c r="A14" s="109">
        <v>10</v>
      </c>
      <c r="B14" s="129" t="s">
        <v>391</v>
      </c>
      <c r="C14" s="112" t="s">
        <v>390</v>
      </c>
      <c r="D14" s="239" t="s">
        <v>373</v>
      </c>
      <c r="E14" s="130">
        <v>0.35</v>
      </c>
      <c r="F14" s="76">
        <f>VLOOKUP(D14,DGL!$B$8:$L$203,11,0)</f>
        <v>182365</v>
      </c>
      <c r="G14" s="131">
        <f>E14*F14</f>
        <v>63827.749999999993</v>
      </c>
    </row>
    <row r="15" spans="1:9" s="103" customFormat="1" ht="31.5">
      <c r="A15" s="132">
        <v>11</v>
      </c>
      <c r="B15" s="129" t="s">
        <v>392</v>
      </c>
      <c r="C15" s="112" t="s">
        <v>397</v>
      </c>
      <c r="D15" s="239" t="s">
        <v>373</v>
      </c>
      <c r="E15" s="130">
        <v>0.35</v>
      </c>
      <c r="F15" s="76">
        <f>VLOOKUP(D15,DGL!$B$8:$L$203,11,0)</f>
        <v>182365</v>
      </c>
      <c r="G15" s="131">
        <f t="shared" ref="G15:G24" si="3">E15*F15</f>
        <v>63827.749999999993</v>
      </c>
    </row>
    <row r="16" spans="1:9" s="103" customFormat="1" ht="31.5">
      <c r="A16" s="109">
        <v>12</v>
      </c>
      <c r="B16" s="129" t="s">
        <v>393</v>
      </c>
      <c r="C16" s="112" t="s">
        <v>398</v>
      </c>
      <c r="D16" s="239" t="s">
        <v>373</v>
      </c>
      <c r="E16" s="130">
        <v>0.35</v>
      </c>
      <c r="F16" s="76">
        <f>VLOOKUP(D16,DGL!$B$8:$L$203,11,0)</f>
        <v>182365</v>
      </c>
      <c r="G16" s="131">
        <f t="shared" si="3"/>
        <v>63827.749999999993</v>
      </c>
    </row>
    <row r="17" spans="1:7" s="103" customFormat="1" ht="31.5">
      <c r="A17" s="109">
        <v>13</v>
      </c>
      <c r="B17" s="129" t="s">
        <v>394</v>
      </c>
      <c r="C17" s="112" t="s">
        <v>405</v>
      </c>
      <c r="D17" s="239" t="s">
        <v>373</v>
      </c>
      <c r="E17" s="130">
        <v>0.35</v>
      </c>
      <c r="F17" s="76">
        <f>VLOOKUP(D17,DGL!$B$8:$L$203,11,0)</f>
        <v>182365</v>
      </c>
      <c r="G17" s="131">
        <f t="shared" si="3"/>
        <v>63827.749999999993</v>
      </c>
    </row>
    <row r="18" spans="1:7" s="103" customFormat="1" ht="31.5">
      <c r="A18" s="132">
        <v>14</v>
      </c>
      <c r="B18" s="129" t="s">
        <v>407</v>
      </c>
      <c r="C18" s="112" t="s">
        <v>399</v>
      </c>
      <c r="D18" s="239" t="s">
        <v>373</v>
      </c>
      <c r="E18" s="130">
        <v>0.35</v>
      </c>
      <c r="F18" s="76">
        <f>VLOOKUP(D18,DGL!$B$8:$L$203,11,0)</f>
        <v>182365</v>
      </c>
      <c r="G18" s="131">
        <f t="shared" si="3"/>
        <v>63827.749999999993</v>
      </c>
    </row>
    <row r="19" spans="1:7" s="103" customFormat="1" ht="31.5">
      <c r="A19" s="109">
        <v>15</v>
      </c>
      <c r="B19" s="129" t="s">
        <v>395</v>
      </c>
      <c r="C19" s="112" t="s">
        <v>401</v>
      </c>
      <c r="D19" s="239" t="s">
        <v>373</v>
      </c>
      <c r="E19" s="130">
        <v>0.35</v>
      </c>
      <c r="F19" s="76">
        <f>VLOOKUP(D19,DGL!$B$8:$L$203,11,0)</f>
        <v>182365</v>
      </c>
      <c r="G19" s="131">
        <f t="shared" si="3"/>
        <v>63827.749999999993</v>
      </c>
    </row>
    <row r="20" spans="1:7" s="103" customFormat="1" ht="31.5">
      <c r="A20" s="109">
        <v>16</v>
      </c>
      <c r="B20" s="129" t="s">
        <v>396</v>
      </c>
      <c r="C20" s="112" t="s">
        <v>400</v>
      </c>
      <c r="D20" s="239" t="s">
        <v>373</v>
      </c>
      <c r="E20" s="130">
        <v>0.35</v>
      </c>
      <c r="F20" s="76">
        <f>VLOOKUP(D20,DGL!$B$8:$L$203,11,0)</f>
        <v>182365</v>
      </c>
      <c r="G20" s="131">
        <f t="shared" si="3"/>
        <v>63827.749999999993</v>
      </c>
    </row>
    <row r="21" spans="1:7" s="103" customFormat="1" ht="31.5">
      <c r="A21" s="132">
        <v>17</v>
      </c>
      <c r="B21" s="129" t="s">
        <v>408</v>
      </c>
      <c r="C21" s="112" t="s">
        <v>402</v>
      </c>
      <c r="D21" s="239" t="s">
        <v>373</v>
      </c>
      <c r="E21" s="130">
        <v>0.35</v>
      </c>
      <c r="F21" s="76">
        <f>VLOOKUP(D21,DGL!$B$8:$L$203,11,0)</f>
        <v>182365</v>
      </c>
      <c r="G21" s="131">
        <f t="shared" si="3"/>
        <v>63827.749999999993</v>
      </c>
    </row>
    <row r="22" spans="1:7" s="103" customFormat="1" ht="31.5">
      <c r="A22" s="109">
        <v>18</v>
      </c>
      <c r="B22" s="129" t="s">
        <v>409</v>
      </c>
      <c r="C22" s="112" t="s">
        <v>403</v>
      </c>
      <c r="D22" s="239" t="s">
        <v>373</v>
      </c>
      <c r="E22" s="130">
        <v>0.35</v>
      </c>
      <c r="F22" s="76">
        <f>VLOOKUP(D22,DGL!$B$8:$L$203,11,0)</f>
        <v>182365</v>
      </c>
      <c r="G22" s="131">
        <f t="shared" si="3"/>
        <v>63827.749999999993</v>
      </c>
    </row>
    <row r="23" spans="1:7" s="103" customFormat="1" ht="31.5">
      <c r="A23" s="109">
        <v>19</v>
      </c>
      <c r="B23" s="129" t="s">
        <v>410</v>
      </c>
      <c r="C23" s="112" t="s">
        <v>404</v>
      </c>
      <c r="D23" s="239" t="s">
        <v>373</v>
      </c>
      <c r="E23" s="130">
        <v>0.35</v>
      </c>
      <c r="F23" s="76">
        <f>VLOOKUP(D23,DGL!$B$8:$L$203,11,0)</f>
        <v>182365</v>
      </c>
      <c r="G23" s="131">
        <f t="shared" si="3"/>
        <v>63827.749999999993</v>
      </c>
    </row>
    <row r="24" spans="1:7" s="103" customFormat="1" ht="31.5">
      <c r="A24" s="132">
        <v>20</v>
      </c>
      <c r="B24" s="129" t="s">
        <v>411</v>
      </c>
      <c r="C24" s="112" t="s">
        <v>406</v>
      </c>
      <c r="D24" s="239" t="s">
        <v>373</v>
      </c>
      <c r="E24" s="130">
        <v>0.35</v>
      </c>
      <c r="F24" s="76">
        <f>VLOOKUP(D24,DGL!$B$8:$L$203,11,0)</f>
        <v>182365</v>
      </c>
      <c r="G24" s="131">
        <f t="shared" si="3"/>
        <v>63827.749999999993</v>
      </c>
    </row>
    <row r="25" spans="1:7" s="103" customFormat="1" ht="31.5">
      <c r="A25" s="109">
        <v>21</v>
      </c>
      <c r="B25" s="129" t="s">
        <v>434</v>
      </c>
      <c r="C25" s="112" t="s">
        <v>433</v>
      </c>
      <c r="D25" s="239" t="s">
        <v>373</v>
      </c>
      <c r="E25" s="130">
        <v>0.35</v>
      </c>
      <c r="F25" s="76">
        <f>VLOOKUP(D25,DGL!$B$8:$L$203,11,0)</f>
        <v>182365</v>
      </c>
      <c r="G25" s="131">
        <f t="shared" ref="G25" si="4">E25*F25</f>
        <v>63827.749999999993</v>
      </c>
    </row>
    <row r="26" spans="1:7" s="103" customFormat="1" ht="31.5">
      <c r="A26" s="109">
        <v>22</v>
      </c>
      <c r="B26" s="129" t="s">
        <v>263</v>
      </c>
      <c r="C26" s="112" t="s">
        <v>4</v>
      </c>
      <c r="D26" s="239" t="s">
        <v>375</v>
      </c>
      <c r="E26" s="130">
        <v>0.35</v>
      </c>
      <c r="F26" s="76">
        <f>VLOOKUP(D26,DGL!$B$8:$L$203,11,0)</f>
        <v>204557.5</v>
      </c>
      <c r="G26" s="131">
        <f>E26*F26</f>
        <v>71595.125</v>
      </c>
    </row>
    <row r="27" spans="1:7" s="103" customFormat="1" ht="31.5">
      <c r="A27" s="132">
        <v>23</v>
      </c>
      <c r="B27" s="129" t="s">
        <v>264</v>
      </c>
      <c r="C27" s="133" t="s">
        <v>6</v>
      </c>
      <c r="D27" s="239" t="s">
        <v>375</v>
      </c>
      <c r="E27" s="130">
        <v>0.35</v>
      </c>
      <c r="F27" s="76">
        <f>VLOOKUP(D27,DGL!$B$8:$L$203,11,0)</f>
        <v>204557.5</v>
      </c>
      <c r="G27" s="131">
        <f t="shared" ref="G27:G32" si="5">E27*F27</f>
        <v>71595.125</v>
      </c>
    </row>
    <row r="28" spans="1:7" s="103" customFormat="1" ht="31.5">
      <c r="A28" s="109">
        <v>24</v>
      </c>
      <c r="B28" s="129" t="s">
        <v>322</v>
      </c>
      <c r="C28" s="112" t="s">
        <v>7</v>
      </c>
      <c r="D28" s="239" t="s">
        <v>375</v>
      </c>
      <c r="E28" s="130">
        <v>0.35</v>
      </c>
      <c r="F28" s="76">
        <f>VLOOKUP(D28,DGL!$B$8:$L$203,11,0)</f>
        <v>204557.5</v>
      </c>
      <c r="G28" s="131">
        <f t="shared" si="5"/>
        <v>71595.125</v>
      </c>
    </row>
    <row r="29" spans="1:7" s="103" customFormat="1" ht="31.5">
      <c r="A29" s="109">
        <v>25</v>
      </c>
      <c r="B29" s="129" t="s">
        <v>321</v>
      </c>
      <c r="C29" s="112" t="s">
        <v>8</v>
      </c>
      <c r="D29" s="239" t="s">
        <v>375</v>
      </c>
      <c r="E29" s="130">
        <v>0.35</v>
      </c>
      <c r="F29" s="76">
        <f>VLOOKUP(D29,DGL!$B$8:$L$203,11,0)</f>
        <v>204557.5</v>
      </c>
      <c r="G29" s="131">
        <f t="shared" si="5"/>
        <v>71595.125</v>
      </c>
    </row>
    <row r="30" spans="1:7" s="103" customFormat="1" ht="31.5">
      <c r="A30" s="132">
        <v>26</v>
      </c>
      <c r="B30" s="129" t="s">
        <v>323</v>
      </c>
      <c r="C30" s="112" t="s">
        <v>231</v>
      </c>
      <c r="D30" s="239" t="s">
        <v>375</v>
      </c>
      <c r="E30" s="130">
        <v>0.35</v>
      </c>
      <c r="F30" s="76">
        <f>VLOOKUP(D30,DGL!$B$8:$L$203,11,0)</f>
        <v>204557.5</v>
      </c>
      <c r="G30" s="131">
        <f t="shared" si="5"/>
        <v>71595.125</v>
      </c>
    </row>
    <row r="31" spans="1:7" s="103" customFormat="1" ht="31.5">
      <c r="A31" s="109">
        <v>27</v>
      </c>
      <c r="B31" s="129" t="s">
        <v>324</v>
      </c>
      <c r="C31" s="112" t="s">
        <v>9</v>
      </c>
      <c r="D31" s="239" t="s">
        <v>375</v>
      </c>
      <c r="E31" s="130">
        <v>0.35</v>
      </c>
      <c r="F31" s="76">
        <f>VLOOKUP(D31,DGL!$B$8:$L$203,11,0)</f>
        <v>204557.5</v>
      </c>
      <c r="G31" s="131">
        <f t="shared" si="5"/>
        <v>71595.125</v>
      </c>
    </row>
    <row r="32" spans="1:7" s="103" customFormat="1" ht="31.5">
      <c r="A32" s="109">
        <v>28</v>
      </c>
      <c r="B32" s="129" t="s">
        <v>265</v>
      </c>
      <c r="C32" s="133" t="s">
        <v>412</v>
      </c>
      <c r="D32" s="239" t="s">
        <v>375</v>
      </c>
      <c r="E32" s="130">
        <v>0.35</v>
      </c>
      <c r="F32" s="76">
        <f>VLOOKUP(D32,DGL!$B$8:$L$203,11,0)</f>
        <v>204557.5</v>
      </c>
      <c r="G32" s="131">
        <f t="shared" si="5"/>
        <v>71595.125</v>
      </c>
    </row>
    <row r="33" spans="1:7" ht="22.5" customHeight="1">
      <c r="A33" s="4" t="s">
        <v>214</v>
      </c>
      <c r="B33" s="319" t="s">
        <v>355</v>
      </c>
      <c r="C33" s="320"/>
      <c r="D33" s="320"/>
      <c r="E33" s="320"/>
      <c r="F33" s="76"/>
      <c r="G33" s="120"/>
    </row>
    <row r="34" spans="1:7" ht="30.75" customHeight="1">
      <c r="A34" s="4">
        <v>1</v>
      </c>
      <c r="B34" s="3" t="s">
        <v>318</v>
      </c>
      <c r="C34" s="78" t="s">
        <v>216</v>
      </c>
      <c r="D34" s="239" t="s">
        <v>459</v>
      </c>
      <c r="E34" s="85">
        <v>0.5</v>
      </c>
      <c r="F34" s="76">
        <f>VLOOKUP(D34,DGL!$B$8:$L$203,11,0)</f>
        <v>167072.5</v>
      </c>
      <c r="G34" s="162">
        <f t="shared" ref="G34:G61" si="6">E34*F34</f>
        <v>83536.25</v>
      </c>
    </row>
    <row r="35" spans="1:7" ht="30.75" customHeight="1">
      <c r="A35" s="4">
        <v>2</v>
      </c>
      <c r="B35" s="3" t="s">
        <v>316</v>
      </c>
      <c r="C35" s="3" t="s">
        <v>218</v>
      </c>
      <c r="D35" s="239" t="s">
        <v>460</v>
      </c>
      <c r="E35" s="4">
        <v>0.6</v>
      </c>
      <c r="F35" s="76">
        <f>VLOOKUP(D35,DGL!$B$8:$L$203,11,0)</f>
        <v>162365</v>
      </c>
      <c r="G35" s="162">
        <f t="shared" si="6"/>
        <v>97419</v>
      </c>
    </row>
    <row r="36" spans="1:7" ht="30.75" customHeight="1">
      <c r="A36" s="4">
        <v>3</v>
      </c>
      <c r="B36" s="3" t="s">
        <v>317</v>
      </c>
      <c r="C36" s="79" t="s">
        <v>144</v>
      </c>
      <c r="D36" s="239" t="s">
        <v>462</v>
      </c>
      <c r="E36" s="4">
        <v>1.2</v>
      </c>
      <c r="F36" s="76">
        <f>VLOOKUP(D36,DGL!$B$8:$L$203,11,0)</f>
        <v>206750</v>
      </c>
      <c r="G36" s="262">
        <f t="shared" si="6"/>
        <v>248100</v>
      </c>
    </row>
    <row r="37" spans="1:7" ht="30.75" customHeight="1">
      <c r="A37" s="4">
        <v>4</v>
      </c>
      <c r="B37" s="3" t="s">
        <v>319</v>
      </c>
      <c r="C37" s="3" t="s">
        <v>5</v>
      </c>
      <c r="D37" s="239" t="s">
        <v>461</v>
      </c>
      <c r="E37" s="4">
        <v>0.6</v>
      </c>
      <c r="F37" s="76">
        <f>VLOOKUP(D37,DGL!$B$8:$L$203,11,0)</f>
        <v>184557.5</v>
      </c>
      <c r="G37" s="162">
        <f t="shared" si="6"/>
        <v>110734.5</v>
      </c>
    </row>
    <row r="38" spans="1:7" ht="30.75" customHeight="1">
      <c r="A38" s="4">
        <v>5</v>
      </c>
      <c r="B38" s="3" t="s">
        <v>229</v>
      </c>
      <c r="C38" s="3" t="s">
        <v>230</v>
      </c>
      <c r="D38" s="239" t="s">
        <v>461</v>
      </c>
      <c r="E38" s="4">
        <v>0.6</v>
      </c>
      <c r="F38" s="76">
        <f>VLOOKUP(D38,DGL!$B$8:$L$203,11,0)</f>
        <v>184557.5</v>
      </c>
      <c r="G38" s="162">
        <f t="shared" si="6"/>
        <v>110734.5</v>
      </c>
    </row>
    <row r="39" spans="1:7" ht="30.75" customHeight="1">
      <c r="A39" s="4">
        <v>6</v>
      </c>
      <c r="B39" s="129" t="s">
        <v>413</v>
      </c>
      <c r="C39" s="112" t="s">
        <v>387</v>
      </c>
      <c r="D39" s="239" t="s">
        <v>462</v>
      </c>
      <c r="E39" s="4">
        <v>1</v>
      </c>
      <c r="F39" s="76">
        <f>VLOOKUP(D39,DGL!$B$8:$L$203,11,0)</f>
        <v>206750</v>
      </c>
      <c r="G39" s="162">
        <f t="shared" si="6"/>
        <v>206750</v>
      </c>
    </row>
    <row r="40" spans="1:7" ht="30.75" customHeight="1">
      <c r="A40" s="4">
        <v>7</v>
      </c>
      <c r="B40" s="129" t="s">
        <v>414</v>
      </c>
      <c r="C40" s="112" t="s">
        <v>386</v>
      </c>
      <c r="D40" s="239" t="s">
        <v>462</v>
      </c>
      <c r="E40" s="4">
        <v>1</v>
      </c>
      <c r="F40" s="76">
        <f>VLOOKUP(D40,DGL!$B$8:$L$203,11,0)</f>
        <v>206750</v>
      </c>
      <c r="G40" s="162">
        <f t="shared" ref="G40" si="7">E40*F40</f>
        <v>206750</v>
      </c>
    </row>
    <row r="41" spans="1:7" ht="30.75" customHeight="1">
      <c r="A41" s="4">
        <v>8</v>
      </c>
      <c r="B41" s="3" t="s">
        <v>227</v>
      </c>
      <c r="C41" s="3" t="s">
        <v>343</v>
      </c>
      <c r="D41" s="239" t="s">
        <v>462</v>
      </c>
      <c r="E41" s="4">
        <v>1</v>
      </c>
      <c r="F41" s="76">
        <f>VLOOKUP(D41,DGL!$B$8:$L$203,11,0)</f>
        <v>206750</v>
      </c>
      <c r="G41" s="162">
        <f t="shared" si="6"/>
        <v>206750</v>
      </c>
    </row>
    <row r="42" spans="1:7" ht="30.75" customHeight="1">
      <c r="A42" s="4">
        <v>9</v>
      </c>
      <c r="B42" s="3" t="s">
        <v>243</v>
      </c>
      <c r="C42" s="3" t="s">
        <v>240</v>
      </c>
      <c r="D42" s="239" t="s">
        <v>462</v>
      </c>
      <c r="E42" s="4">
        <v>1</v>
      </c>
      <c r="F42" s="76">
        <f>VLOOKUP(D42,DGL!$B$8:$L$203,11,0)</f>
        <v>206750</v>
      </c>
      <c r="G42" s="162">
        <f t="shared" ref="G42" si="8">E42*F42</f>
        <v>206750</v>
      </c>
    </row>
    <row r="43" spans="1:7" ht="30.75" customHeight="1">
      <c r="A43" s="4">
        <v>10</v>
      </c>
      <c r="B43" s="129" t="s">
        <v>415</v>
      </c>
      <c r="C43" s="112" t="s">
        <v>390</v>
      </c>
      <c r="D43" s="239" t="s">
        <v>461</v>
      </c>
      <c r="E43" s="4">
        <v>0.7</v>
      </c>
      <c r="F43" s="76">
        <f>VLOOKUP(D43,DGL!$B$8:$L$203,11,0)</f>
        <v>184557.5</v>
      </c>
      <c r="G43" s="162">
        <f>E43*F43</f>
        <v>129190.24999999999</v>
      </c>
    </row>
    <row r="44" spans="1:7" ht="33" customHeight="1">
      <c r="A44" s="4">
        <v>11</v>
      </c>
      <c r="B44" s="129" t="s">
        <v>416</v>
      </c>
      <c r="C44" s="112" t="s">
        <v>397</v>
      </c>
      <c r="D44" s="239" t="s">
        <v>461</v>
      </c>
      <c r="E44" s="4">
        <v>0.7</v>
      </c>
      <c r="F44" s="76">
        <f>VLOOKUP(D44,DGL!$B$8:$L$203,11,0)</f>
        <v>184557.5</v>
      </c>
      <c r="G44" s="162">
        <f t="shared" ref="G44:G53" si="9">E44*F44</f>
        <v>129190.24999999999</v>
      </c>
    </row>
    <row r="45" spans="1:7" ht="33" customHeight="1">
      <c r="A45" s="4">
        <v>12</v>
      </c>
      <c r="B45" s="129" t="s">
        <v>417</v>
      </c>
      <c r="C45" s="112" t="s">
        <v>398</v>
      </c>
      <c r="D45" s="239" t="s">
        <v>461</v>
      </c>
      <c r="E45" s="4">
        <v>0.7</v>
      </c>
      <c r="F45" s="76">
        <f>VLOOKUP(D45,DGL!$B$8:$L$203,11,0)</f>
        <v>184557.5</v>
      </c>
      <c r="G45" s="162">
        <f t="shared" si="9"/>
        <v>129190.24999999999</v>
      </c>
    </row>
    <row r="46" spans="1:7" ht="33" customHeight="1">
      <c r="A46" s="4">
        <v>13</v>
      </c>
      <c r="B46" s="129" t="s">
        <v>418</v>
      </c>
      <c r="C46" s="112" t="s">
        <v>405</v>
      </c>
      <c r="D46" s="239" t="s">
        <v>461</v>
      </c>
      <c r="E46" s="4">
        <v>0.7</v>
      </c>
      <c r="F46" s="76">
        <f>VLOOKUP(D46,DGL!$B$8:$L$203,11,0)</f>
        <v>184557.5</v>
      </c>
      <c r="G46" s="162">
        <f t="shared" si="9"/>
        <v>129190.24999999999</v>
      </c>
    </row>
    <row r="47" spans="1:7" ht="33" customHeight="1">
      <c r="A47" s="4">
        <v>14</v>
      </c>
      <c r="B47" s="129" t="s">
        <v>419</v>
      </c>
      <c r="C47" s="112" t="s">
        <v>399</v>
      </c>
      <c r="D47" s="239" t="s">
        <v>461</v>
      </c>
      <c r="E47" s="4">
        <v>0.7</v>
      </c>
      <c r="F47" s="76">
        <f>VLOOKUP(D47,DGL!$B$8:$L$203,11,0)</f>
        <v>184557.5</v>
      </c>
      <c r="G47" s="162">
        <f t="shared" si="9"/>
        <v>129190.24999999999</v>
      </c>
    </row>
    <row r="48" spans="1:7" ht="33" customHeight="1">
      <c r="A48" s="4">
        <v>15</v>
      </c>
      <c r="B48" s="129" t="s">
        <v>420</v>
      </c>
      <c r="C48" s="112" t="s">
        <v>401</v>
      </c>
      <c r="D48" s="239" t="s">
        <v>461</v>
      </c>
      <c r="E48" s="4">
        <v>0.7</v>
      </c>
      <c r="F48" s="76">
        <f>VLOOKUP(D48,DGL!$B$8:$L$203,11,0)</f>
        <v>184557.5</v>
      </c>
      <c r="G48" s="162">
        <f t="shared" si="9"/>
        <v>129190.24999999999</v>
      </c>
    </row>
    <row r="49" spans="1:7" ht="33" customHeight="1">
      <c r="A49" s="4">
        <v>16</v>
      </c>
      <c r="B49" s="129" t="s">
        <v>421</v>
      </c>
      <c r="C49" s="112" t="s">
        <v>400</v>
      </c>
      <c r="D49" s="239" t="s">
        <v>461</v>
      </c>
      <c r="E49" s="4">
        <v>0.7</v>
      </c>
      <c r="F49" s="76">
        <f>VLOOKUP(D49,DGL!$B$8:$L$203,11,0)</f>
        <v>184557.5</v>
      </c>
      <c r="G49" s="162">
        <f t="shared" si="9"/>
        <v>129190.24999999999</v>
      </c>
    </row>
    <row r="50" spans="1:7" ht="33" customHeight="1">
      <c r="A50" s="4">
        <v>17</v>
      </c>
      <c r="B50" s="129" t="s">
        <v>422</v>
      </c>
      <c r="C50" s="112" t="s">
        <v>402</v>
      </c>
      <c r="D50" s="239" t="s">
        <v>461</v>
      </c>
      <c r="E50" s="4">
        <v>0.7</v>
      </c>
      <c r="F50" s="76">
        <f>VLOOKUP(D50,DGL!$B$8:$L$203,11,0)</f>
        <v>184557.5</v>
      </c>
      <c r="G50" s="162">
        <f t="shared" si="9"/>
        <v>129190.24999999999</v>
      </c>
    </row>
    <row r="51" spans="1:7" ht="33" customHeight="1">
      <c r="A51" s="4">
        <v>18</v>
      </c>
      <c r="B51" s="129" t="s">
        <v>423</v>
      </c>
      <c r="C51" s="112" t="s">
        <v>403</v>
      </c>
      <c r="D51" s="239" t="s">
        <v>461</v>
      </c>
      <c r="E51" s="4">
        <v>0.7</v>
      </c>
      <c r="F51" s="76">
        <f>VLOOKUP(D51,DGL!$B$8:$L$203,11,0)</f>
        <v>184557.5</v>
      </c>
      <c r="G51" s="162">
        <f t="shared" si="9"/>
        <v>129190.24999999999</v>
      </c>
    </row>
    <row r="52" spans="1:7" ht="33" customHeight="1">
      <c r="A52" s="4">
        <v>19</v>
      </c>
      <c r="B52" s="129" t="s">
        <v>424</v>
      </c>
      <c r="C52" s="112" t="s">
        <v>404</v>
      </c>
      <c r="D52" s="239" t="s">
        <v>461</v>
      </c>
      <c r="E52" s="4">
        <v>0.7</v>
      </c>
      <c r="F52" s="76">
        <f>VLOOKUP(D52,DGL!$B$8:$L$203,11,0)</f>
        <v>184557.5</v>
      </c>
      <c r="G52" s="162">
        <f t="shared" si="9"/>
        <v>129190.24999999999</v>
      </c>
    </row>
    <row r="53" spans="1:7" ht="33" customHeight="1">
      <c r="A53" s="4">
        <v>20</v>
      </c>
      <c r="B53" s="129" t="s">
        <v>425</v>
      </c>
      <c r="C53" s="112" t="s">
        <v>406</v>
      </c>
      <c r="D53" s="239" t="s">
        <v>461</v>
      </c>
      <c r="E53" s="4">
        <v>0.7</v>
      </c>
      <c r="F53" s="76">
        <f>VLOOKUP(D53,DGL!$B$8:$L$203,11,0)</f>
        <v>184557.5</v>
      </c>
      <c r="G53" s="162">
        <f t="shared" si="9"/>
        <v>129190.24999999999</v>
      </c>
    </row>
    <row r="54" spans="1:7" ht="33" customHeight="1">
      <c r="A54" s="4">
        <v>21</v>
      </c>
      <c r="B54" s="129" t="s">
        <v>432</v>
      </c>
      <c r="C54" s="112" t="s">
        <v>433</v>
      </c>
      <c r="D54" s="239" t="s">
        <v>461</v>
      </c>
      <c r="E54" s="4">
        <v>0.7</v>
      </c>
      <c r="F54" s="76">
        <f>VLOOKUP(D54,DGL!$B$8:$L$203,11,0)</f>
        <v>184557.5</v>
      </c>
      <c r="G54" s="162">
        <f t="shared" ref="G54" si="10">E54*F54</f>
        <v>129190.24999999999</v>
      </c>
    </row>
    <row r="55" spans="1:7" ht="30.75" customHeight="1">
      <c r="A55" s="4">
        <v>22</v>
      </c>
      <c r="B55" s="3" t="s">
        <v>217</v>
      </c>
      <c r="C55" s="3" t="s">
        <v>4</v>
      </c>
      <c r="D55" s="239" t="s">
        <v>462</v>
      </c>
      <c r="E55" s="4">
        <v>1.2</v>
      </c>
      <c r="F55" s="76">
        <f>VLOOKUP(D55,DGL!$B$8:$L$203,11,0)</f>
        <v>206750</v>
      </c>
      <c r="G55" s="162">
        <f>E55*F55</f>
        <v>248100</v>
      </c>
    </row>
    <row r="56" spans="1:7" ht="30.75" customHeight="1">
      <c r="A56" s="4">
        <v>23</v>
      </c>
      <c r="B56" s="3" t="s">
        <v>320</v>
      </c>
      <c r="C56" s="3" t="s">
        <v>6</v>
      </c>
      <c r="D56" s="239" t="s">
        <v>462</v>
      </c>
      <c r="E56" s="4">
        <v>1.2</v>
      </c>
      <c r="F56" s="76">
        <f>VLOOKUP(D56,DGL!$B$8:$L$203,11,0)</f>
        <v>206750</v>
      </c>
      <c r="G56" s="162">
        <f t="shared" si="6"/>
        <v>248100</v>
      </c>
    </row>
    <row r="57" spans="1:7" ht="30.75" customHeight="1">
      <c r="A57" s="4">
        <v>24</v>
      </c>
      <c r="B57" s="3" t="s">
        <v>326</v>
      </c>
      <c r="C57" s="222" t="s">
        <v>7</v>
      </c>
      <c r="D57" s="239" t="s">
        <v>462</v>
      </c>
      <c r="E57" s="4">
        <v>2</v>
      </c>
      <c r="F57" s="76">
        <f>VLOOKUP(D57,DGL!$B$8:$L$203,11,0)</f>
        <v>206750</v>
      </c>
      <c r="G57" s="162">
        <f t="shared" si="6"/>
        <v>413500</v>
      </c>
    </row>
    <row r="58" spans="1:7" ht="30.75" customHeight="1">
      <c r="A58" s="4">
        <v>25</v>
      </c>
      <c r="B58" s="3" t="s">
        <v>325</v>
      </c>
      <c r="C58" s="222" t="s">
        <v>8</v>
      </c>
      <c r="D58" s="239" t="s">
        <v>462</v>
      </c>
      <c r="E58" s="4">
        <v>2</v>
      </c>
      <c r="F58" s="76">
        <f>VLOOKUP(D58,DGL!$B$8:$L$203,11,0)</f>
        <v>206750</v>
      </c>
      <c r="G58" s="162">
        <f t="shared" si="6"/>
        <v>413500</v>
      </c>
    </row>
    <row r="59" spans="1:7" ht="30.75" customHeight="1">
      <c r="A59" s="4">
        <v>26</v>
      </c>
      <c r="B59" s="3" t="s">
        <v>327</v>
      </c>
      <c r="C59" s="222" t="s">
        <v>312</v>
      </c>
      <c r="D59" s="239" t="s">
        <v>463</v>
      </c>
      <c r="E59" s="4">
        <v>2</v>
      </c>
      <c r="F59" s="76">
        <f>VLOOKUP(D59,DGL!$B$8:$L$203,11,0)</f>
        <v>228942.5</v>
      </c>
      <c r="G59" s="162">
        <f t="shared" ref="G59" si="11">E59*F59</f>
        <v>457885</v>
      </c>
    </row>
    <row r="60" spans="1:7" ht="30.75" customHeight="1">
      <c r="A60" s="4">
        <v>27</v>
      </c>
      <c r="B60" s="3" t="s">
        <v>328</v>
      </c>
      <c r="C60" s="3" t="s">
        <v>9</v>
      </c>
      <c r="D60" s="239" t="s">
        <v>462</v>
      </c>
      <c r="E60" s="4">
        <v>2</v>
      </c>
      <c r="F60" s="76">
        <f>VLOOKUP(D60,DGL!$B$8:$L$203,11,0)</f>
        <v>206750</v>
      </c>
      <c r="G60" s="162">
        <f t="shared" si="6"/>
        <v>413500</v>
      </c>
    </row>
    <row r="61" spans="1:7" ht="30.75" customHeight="1">
      <c r="A61" s="4">
        <v>28</v>
      </c>
      <c r="B61" s="163" t="s">
        <v>329</v>
      </c>
      <c r="C61" s="9" t="s">
        <v>143</v>
      </c>
      <c r="D61" s="239" t="s">
        <v>463</v>
      </c>
      <c r="E61" s="2">
        <v>1</v>
      </c>
      <c r="F61" s="76">
        <f>VLOOKUP(D61,DGL!$B$8:$L$203,11,0)</f>
        <v>228942.5</v>
      </c>
      <c r="G61" s="162">
        <f t="shared" si="6"/>
        <v>228942.5</v>
      </c>
    </row>
  </sheetData>
  <mergeCells count="4">
    <mergeCell ref="F2:G2"/>
    <mergeCell ref="A1:G1"/>
    <mergeCell ref="B33:E33"/>
    <mergeCell ref="B4:F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524"/>
  <sheetViews>
    <sheetView topLeftCell="A304" workbookViewId="0">
      <selection activeCell="B312" sqref="B312"/>
    </sheetView>
  </sheetViews>
  <sheetFormatPr defaultRowHeight="21.75" customHeight="1"/>
  <cols>
    <col min="1" max="1" width="8.42578125" style="108" customWidth="1"/>
    <col min="2" max="2" width="27.28515625" style="5" customWidth="1"/>
    <col min="3" max="3" width="11.85546875" style="5" customWidth="1"/>
    <col min="4" max="4" width="12.7109375" style="5" customWidth="1"/>
    <col min="5" max="5" width="14.42578125" style="5" customWidth="1"/>
    <col min="6" max="6" width="12" style="5" customWidth="1"/>
    <col min="7" max="7" width="12.42578125" style="106" customWidth="1"/>
    <col min="8" max="16384" width="9.140625" style="5"/>
  </cols>
  <sheetData>
    <row r="1" spans="1:8" ht="28.5" customHeight="1">
      <c r="A1" s="339" t="s">
        <v>354</v>
      </c>
      <c r="B1" s="339"/>
      <c r="C1" s="339"/>
      <c r="D1" s="339"/>
      <c r="E1" s="339"/>
      <c r="F1" s="339"/>
      <c r="G1" s="340"/>
      <c r="H1" s="107"/>
    </row>
    <row r="2" spans="1:8" ht="21.75" customHeight="1">
      <c r="F2" s="336" t="s">
        <v>176</v>
      </c>
      <c r="G2" s="337"/>
    </row>
    <row r="3" spans="1:8" ht="30" customHeight="1">
      <c r="A3" s="330" t="s">
        <v>0</v>
      </c>
      <c r="B3" s="330" t="s">
        <v>10</v>
      </c>
      <c r="C3" s="330" t="s">
        <v>11</v>
      </c>
      <c r="D3" s="13" t="s">
        <v>12</v>
      </c>
      <c r="E3" s="330" t="s">
        <v>14</v>
      </c>
      <c r="F3" s="341" t="s">
        <v>174</v>
      </c>
      <c r="G3" s="348" t="s">
        <v>175</v>
      </c>
    </row>
    <row r="4" spans="1:8" ht="21.75" customHeight="1">
      <c r="A4" s="330"/>
      <c r="B4" s="330"/>
      <c r="C4" s="330"/>
      <c r="D4" s="13" t="s">
        <v>13</v>
      </c>
      <c r="E4" s="330"/>
      <c r="F4" s="341"/>
      <c r="G4" s="349"/>
    </row>
    <row r="5" spans="1:8" ht="21.75" customHeight="1">
      <c r="A5" s="122" t="s">
        <v>257</v>
      </c>
      <c r="B5" s="321" t="s">
        <v>342</v>
      </c>
      <c r="C5" s="322"/>
      <c r="D5" s="322"/>
      <c r="E5" s="322"/>
      <c r="F5" s="322"/>
      <c r="G5" s="123"/>
    </row>
    <row r="6" spans="1:8" ht="21.75" customHeight="1">
      <c r="A6" s="136" t="s">
        <v>258</v>
      </c>
      <c r="B6" s="137" t="s">
        <v>216</v>
      </c>
      <c r="C6" s="134"/>
      <c r="D6" s="134"/>
      <c r="E6" s="135"/>
      <c r="F6" s="124"/>
      <c r="G6" s="141">
        <f>SUM(G7:G14)*1.05</f>
        <v>1992.9195804195801</v>
      </c>
    </row>
    <row r="7" spans="1:8" ht="21.75" customHeight="1">
      <c r="A7" s="2">
        <v>1</v>
      </c>
      <c r="B7" s="138" t="s">
        <v>271</v>
      </c>
      <c r="C7" s="4" t="s">
        <v>50</v>
      </c>
      <c r="D7" s="226">
        <f>VLOOKUP(B7,[1]Dcu!$B$3:$D$511,3,0)</f>
        <v>6</v>
      </c>
      <c r="E7" s="2">
        <v>0.16</v>
      </c>
      <c r="F7" s="110">
        <f>VLOOKUP(B7,[1]Dcu!$B$3:$F$511,5,0)</f>
        <v>727272.72727272718</v>
      </c>
      <c r="G7" s="38">
        <f t="shared" ref="G7" si="0">F7/(D7*26)*E7</f>
        <v>745.92074592074584</v>
      </c>
    </row>
    <row r="8" spans="1:8" ht="21.75" customHeight="1">
      <c r="A8" s="2">
        <v>2</v>
      </c>
      <c r="B8" s="3" t="s">
        <v>272</v>
      </c>
      <c r="C8" s="4" t="s">
        <v>266</v>
      </c>
      <c r="D8" s="226">
        <f>VLOOKUP(B8,[1]Dcu!$B$3:$D$511,3,0)</f>
        <v>6</v>
      </c>
      <c r="E8" s="2">
        <v>0.2</v>
      </c>
      <c r="F8" s="110">
        <f>VLOOKUP(B8,[1]Dcu!$B$3:$F$511,5,0)</f>
        <v>272727.27272727271</v>
      </c>
      <c r="G8" s="38">
        <f t="shared" ref="G8:G59" si="1">F8/(D8*26)*E8</f>
        <v>349.65034965034965</v>
      </c>
    </row>
    <row r="9" spans="1:8" ht="21.75" customHeight="1">
      <c r="A9" s="2">
        <v>3</v>
      </c>
      <c r="B9" s="111" t="s">
        <v>233</v>
      </c>
      <c r="C9" s="4" t="s">
        <v>22</v>
      </c>
      <c r="D9" s="226">
        <f>VLOOKUP(B9,[1]Dcu!$B$3:$D$511,3,0)</f>
        <v>12</v>
      </c>
      <c r="E9" s="2">
        <v>0.24</v>
      </c>
      <c r="F9" s="110">
        <f>VLOOKUP(B9,[1]Dcu!$B$3:$F$511,5,0)</f>
        <v>45454.545454545449</v>
      </c>
      <c r="G9" s="38">
        <f t="shared" si="1"/>
        <v>34.96503496503496</v>
      </c>
    </row>
    <row r="10" spans="1:8" ht="21.75" customHeight="1">
      <c r="A10" s="2">
        <v>4</v>
      </c>
      <c r="B10" s="40" t="s">
        <v>345</v>
      </c>
      <c r="C10" s="4" t="s">
        <v>64</v>
      </c>
      <c r="D10" s="226">
        <f>VLOOKUP(B10,[1]Dcu!$B$3:$D$511,3,0)</f>
        <v>6</v>
      </c>
      <c r="E10" s="2">
        <v>0.2</v>
      </c>
      <c r="F10" s="110">
        <f>VLOOKUP(B10,[1]Dcu!$B$3:$F$511,5,0)</f>
        <v>22727.272727272724</v>
      </c>
      <c r="G10" s="38">
        <f t="shared" si="1"/>
        <v>29.137529137529135</v>
      </c>
    </row>
    <row r="11" spans="1:8" ht="21.75" customHeight="1">
      <c r="A11" s="2">
        <v>5</v>
      </c>
      <c r="B11" s="3" t="s">
        <v>267</v>
      </c>
      <c r="C11" s="4" t="s">
        <v>64</v>
      </c>
      <c r="D11" s="226">
        <f>VLOOKUP(B11,[1]Dcu!$B$3:$D$511,3,0)</f>
        <v>6</v>
      </c>
      <c r="E11" s="2">
        <v>0.2</v>
      </c>
      <c r="F11" s="110">
        <f>VLOOKUP(B11,[1]Dcu!$B$3:$F$511,5,0)</f>
        <v>6363.6363636363631</v>
      </c>
      <c r="G11" s="38">
        <f t="shared" si="1"/>
        <v>8.1585081585081589</v>
      </c>
    </row>
    <row r="12" spans="1:8" ht="21.75" customHeight="1">
      <c r="A12" s="2">
        <v>6</v>
      </c>
      <c r="B12" s="3" t="s">
        <v>268</v>
      </c>
      <c r="C12" s="4" t="s">
        <v>50</v>
      </c>
      <c r="D12" s="226">
        <f>VLOOKUP(B12,[1]Dcu!$B$3:$D$511,3,0)</f>
        <v>12</v>
      </c>
      <c r="E12" s="2">
        <v>0.2</v>
      </c>
      <c r="F12" s="110">
        <f>VLOOKUP(B12,[1]Dcu!$B$3:$F$511,5,0)</f>
        <v>18181.81818181818</v>
      </c>
      <c r="G12" s="38">
        <f t="shared" si="1"/>
        <v>11.655011655011656</v>
      </c>
    </row>
    <row r="13" spans="1:8" ht="21.75" customHeight="1">
      <c r="A13" s="2">
        <v>7</v>
      </c>
      <c r="B13" s="111" t="s">
        <v>269</v>
      </c>
      <c r="C13" s="4" t="s">
        <v>50</v>
      </c>
      <c r="D13" s="226">
        <f>VLOOKUP(B13,[1]Dcu!$B$3:$D$511,3,0)</f>
        <v>24</v>
      </c>
      <c r="E13" s="2">
        <v>0.12</v>
      </c>
      <c r="F13" s="110">
        <f>VLOOKUP(B13,[1]Dcu!$B$3:$F$511,5,0)</f>
        <v>99999.999999999985</v>
      </c>
      <c r="G13" s="38">
        <f t="shared" si="1"/>
        <v>19.230769230769226</v>
      </c>
    </row>
    <row r="14" spans="1:8" ht="21.75" customHeight="1">
      <c r="A14" s="2">
        <v>8</v>
      </c>
      <c r="B14" s="112" t="s">
        <v>361</v>
      </c>
      <c r="C14" s="4" t="s">
        <v>49</v>
      </c>
      <c r="D14" s="226">
        <f>VLOOKUP(B14,[1]Dcu!$B$3:$D$511,3,0)</f>
        <v>0.3</v>
      </c>
      <c r="E14" s="2">
        <v>0.03</v>
      </c>
      <c r="F14" s="110">
        <f>VLOOKUP(B14,[1]Dcu!$B$3:$F$511,5,0)</f>
        <v>181818.18181818179</v>
      </c>
      <c r="G14" s="38">
        <f t="shared" si="1"/>
        <v>699.30069930069919</v>
      </c>
    </row>
    <row r="15" spans="1:8" s="103" customFormat="1" ht="21.75" customHeight="1">
      <c r="A15" s="139" t="s">
        <v>259</v>
      </c>
      <c r="B15" s="140" t="s">
        <v>218</v>
      </c>
      <c r="C15" s="134"/>
      <c r="D15" s="134"/>
      <c r="E15" s="135"/>
      <c r="F15" s="141"/>
      <c r="G15" s="141">
        <f>SUM(G16:G23)*1.05</f>
        <v>1992.9195804195801</v>
      </c>
    </row>
    <row r="16" spans="1:8" ht="21.75" customHeight="1">
      <c r="A16" s="2">
        <v>1</v>
      </c>
      <c r="B16" s="138" t="s">
        <v>271</v>
      </c>
      <c r="C16" s="4" t="s">
        <v>50</v>
      </c>
      <c r="D16" s="226">
        <f>VLOOKUP(B16,[1]Dcu!$B$3:$D$511,3,0)</f>
        <v>6</v>
      </c>
      <c r="E16" s="2">
        <v>0.16</v>
      </c>
      <c r="F16" s="110">
        <f>VLOOKUP(B16,[1]Dcu!$B$3:$F$511,5,0)</f>
        <v>727272.72727272718</v>
      </c>
      <c r="G16" s="38">
        <f t="shared" si="1"/>
        <v>745.92074592074584</v>
      </c>
    </row>
    <row r="17" spans="1:7" ht="21.75" customHeight="1">
      <c r="A17" s="2">
        <v>2</v>
      </c>
      <c r="B17" s="3" t="s">
        <v>272</v>
      </c>
      <c r="C17" s="4" t="s">
        <v>266</v>
      </c>
      <c r="D17" s="226">
        <f>VLOOKUP(B17,[1]Dcu!$B$3:$D$511,3,0)</f>
        <v>6</v>
      </c>
      <c r="E17" s="2">
        <v>0.2</v>
      </c>
      <c r="F17" s="110">
        <f>VLOOKUP(B17,[1]Dcu!$B$3:$F$511,5,0)</f>
        <v>272727.27272727271</v>
      </c>
      <c r="G17" s="38">
        <f t="shared" si="1"/>
        <v>349.65034965034965</v>
      </c>
    </row>
    <row r="18" spans="1:7" ht="21.75" customHeight="1">
      <c r="A18" s="2">
        <v>2</v>
      </c>
      <c r="B18" s="111" t="s">
        <v>233</v>
      </c>
      <c r="C18" s="4" t="s">
        <v>22</v>
      </c>
      <c r="D18" s="226">
        <f>VLOOKUP(B18,[1]Dcu!$B$3:$D$511,3,0)</f>
        <v>12</v>
      </c>
      <c r="E18" s="2">
        <v>0.24</v>
      </c>
      <c r="F18" s="110">
        <f>VLOOKUP(B18,[1]Dcu!$B$3:$F$511,5,0)</f>
        <v>45454.545454545449</v>
      </c>
      <c r="G18" s="38">
        <f t="shared" si="1"/>
        <v>34.96503496503496</v>
      </c>
    </row>
    <row r="19" spans="1:7" ht="21.75" customHeight="1">
      <c r="A19" s="2">
        <v>3</v>
      </c>
      <c r="B19" s="40" t="s">
        <v>345</v>
      </c>
      <c r="C19" s="4" t="s">
        <v>64</v>
      </c>
      <c r="D19" s="226">
        <f>VLOOKUP(B19,[1]Dcu!$B$3:$D$511,3,0)</f>
        <v>6</v>
      </c>
      <c r="E19" s="2">
        <v>0.2</v>
      </c>
      <c r="F19" s="110">
        <f>VLOOKUP(B19,[1]Dcu!$B$3:$F$511,5,0)</f>
        <v>22727.272727272724</v>
      </c>
      <c r="G19" s="38">
        <f t="shared" si="1"/>
        <v>29.137529137529135</v>
      </c>
    </row>
    <row r="20" spans="1:7" ht="21.75" customHeight="1">
      <c r="A20" s="2">
        <v>4</v>
      </c>
      <c r="B20" s="3" t="s">
        <v>267</v>
      </c>
      <c r="C20" s="4" t="s">
        <v>64</v>
      </c>
      <c r="D20" s="226">
        <f>VLOOKUP(B20,[1]Dcu!$B$3:$D$511,3,0)</f>
        <v>6</v>
      </c>
      <c r="E20" s="2">
        <v>0.2</v>
      </c>
      <c r="F20" s="110">
        <f>VLOOKUP(B20,[1]Dcu!$B$3:$F$511,5,0)</f>
        <v>6363.6363636363631</v>
      </c>
      <c r="G20" s="38">
        <f t="shared" si="1"/>
        <v>8.1585081585081589</v>
      </c>
    </row>
    <row r="21" spans="1:7" ht="21.75" customHeight="1">
      <c r="A21" s="2">
        <v>5</v>
      </c>
      <c r="B21" s="3" t="s">
        <v>268</v>
      </c>
      <c r="C21" s="4" t="s">
        <v>50</v>
      </c>
      <c r="D21" s="226">
        <f>VLOOKUP(B21,[1]Dcu!$B$3:$D$511,3,0)</f>
        <v>12</v>
      </c>
      <c r="E21" s="2">
        <v>0.2</v>
      </c>
      <c r="F21" s="110">
        <f>VLOOKUP(B21,[1]Dcu!$B$3:$F$511,5,0)</f>
        <v>18181.81818181818</v>
      </c>
      <c r="G21" s="38">
        <f t="shared" si="1"/>
        <v>11.655011655011656</v>
      </c>
    </row>
    <row r="22" spans="1:7" ht="21.75" customHeight="1">
      <c r="A22" s="2">
        <v>6</v>
      </c>
      <c r="B22" s="111" t="s">
        <v>269</v>
      </c>
      <c r="C22" s="4" t="s">
        <v>50</v>
      </c>
      <c r="D22" s="226">
        <f>VLOOKUP(B22,[1]Dcu!$B$3:$D$511,3,0)</f>
        <v>24</v>
      </c>
      <c r="E22" s="2">
        <v>0.12</v>
      </c>
      <c r="F22" s="110">
        <f>VLOOKUP(B22,[1]Dcu!$B$3:$F$511,5,0)</f>
        <v>99999.999999999985</v>
      </c>
      <c r="G22" s="38">
        <f t="shared" si="1"/>
        <v>19.230769230769226</v>
      </c>
    </row>
    <row r="23" spans="1:7" ht="21.75" customHeight="1">
      <c r="A23" s="2">
        <v>7</v>
      </c>
      <c r="B23" s="112" t="s">
        <v>361</v>
      </c>
      <c r="C23" s="4" t="s">
        <v>49</v>
      </c>
      <c r="D23" s="226">
        <f>VLOOKUP(B23,[1]Dcu!$B$3:$D$511,3,0)</f>
        <v>0.3</v>
      </c>
      <c r="E23" s="2">
        <v>0.03</v>
      </c>
      <c r="F23" s="110">
        <f>VLOOKUP(B23,[1]Dcu!$B$3:$F$511,5,0)</f>
        <v>181818.18181818179</v>
      </c>
      <c r="G23" s="38">
        <f t="shared" si="1"/>
        <v>699.30069930069919</v>
      </c>
    </row>
    <row r="24" spans="1:7" s="103" customFormat="1" ht="21.75" customHeight="1">
      <c r="A24" s="139" t="s">
        <v>260</v>
      </c>
      <c r="B24" s="140" t="s">
        <v>273</v>
      </c>
      <c r="C24" s="134"/>
      <c r="D24" s="134"/>
      <c r="E24" s="135"/>
      <c r="F24" s="141"/>
      <c r="G24" s="141">
        <f>SUM(G25:G32)*1.05</f>
        <v>1992.9195804195801</v>
      </c>
    </row>
    <row r="25" spans="1:7" ht="21.75" customHeight="1">
      <c r="A25" s="2">
        <v>1</v>
      </c>
      <c r="B25" s="138" t="s">
        <v>271</v>
      </c>
      <c r="C25" s="4" t="s">
        <v>50</v>
      </c>
      <c r="D25" s="226">
        <f>VLOOKUP(B25,[1]Dcu!$B$3:$D$511,3,0)</f>
        <v>6</v>
      </c>
      <c r="E25" s="2">
        <v>0.16</v>
      </c>
      <c r="F25" s="110">
        <f>VLOOKUP(B25,[1]Dcu!$B$3:$F$511,5,0)</f>
        <v>727272.72727272718</v>
      </c>
      <c r="G25" s="38">
        <f t="shared" si="1"/>
        <v>745.92074592074584</v>
      </c>
    </row>
    <row r="26" spans="1:7" ht="21.75" customHeight="1">
      <c r="A26" s="2">
        <v>2</v>
      </c>
      <c r="B26" s="3" t="s">
        <v>272</v>
      </c>
      <c r="C26" s="4" t="s">
        <v>266</v>
      </c>
      <c r="D26" s="226">
        <f>VLOOKUP(B26,[1]Dcu!$B$3:$D$511,3,0)</f>
        <v>6</v>
      </c>
      <c r="E26" s="2">
        <v>0.2</v>
      </c>
      <c r="F26" s="110">
        <f>VLOOKUP(B26,[1]Dcu!$B$3:$F$511,5,0)</f>
        <v>272727.27272727271</v>
      </c>
      <c r="G26" s="38">
        <f t="shared" si="1"/>
        <v>349.65034965034965</v>
      </c>
    </row>
    <row r="27" spans="1:7" ht="21.75" customHeight="1">
      <c r="A27" s="2">
        <v>2</v>
      </c>
      <c r="B27" s="111" t="s">
        <v>233</v>
      </c>
      <c r="C27" s="4" t="s">
        <v>22</v>
      </c>
      <c r="D27" s="226">
        <f>VLOOKUP(B27,[1]Dcu!$B$3:$D$511,3,0)</f>
        <v>12</v>
      </c>
      <c r="E27" s="2">
        <v>0.24</v>
      </c>
      <c r="F27" s="110">
        <f>VLOOKUP(B27,[1]Dcu!$B$3:$F$511,5,0)</f>
        <v>45454.545454545449</v>
      </c>
      <c r="G27" s="38">
        <f t="shared" si="1"/>
        <v>34.96503496503496</v>
      </c>
    </row>
    <row r="28" spans="1:7" ht="21.75" customHeight="1">
      <c r="A28" s="2">
        <v>3</v>
      </c>
      <c r="B28" s="40" t="s">
        <v>345</v>
      </c>
      <c r="C28" s="4" t="s">
        <v>64</v>
      </c>
      <c r="D28" s="226">
        <f>VLOOKUP(B28,[1]Dcu!$B$3:$D$511,3,0)</f>
        <v>6</v>
      </c>
      <c r="E28" s="2">
        <v>0.2</v>
      </c>
      <c r="F28" s="110">
        <f>VLOOKUP(B28,[1]Dcu!$B$3:$F$511,5,0)</f>
        <v>22727.272727272724</v>
      </c>
      <c r="G28" s="38">
        <f t="shared" si="1"/>
        <v>29.137529137529135</v>
      </c>
    </row>
    <row r="29" spans="1:7" ht="21.75" customHeight="1">
      <c r="A29" s="2">
        <v>4</v>
      </c>
      <c r="B29" s="3" t="s">
        <v>267</v>
      </c>
      <c r="C29" s="4" t="s">
        <v>64</v>
      </c>
      <c r="D29" s="226">
        <f>VLOOKUP(B29,[1]Dcu!$B$3:$D$511,3,0)</f>
        <v>6</v>
      </c>
      <c r="E29" s="2">
        <v>0.2</v>
      </c>
      <c r="F29" s="110">
        <f>VLOOKUP(B29,[1]Dcu!$B$3:$F$511,5,0)</f>
        <v>6363.6363636363631</v>
      </c>
      <c r="G29" s="38">
        <f t="shared" si="1"/>
        <v>8.1585081585081589</v>
      </c>
    </row>
    <row r="30" spans="1:7" ht="21.75" customHeight="1">
      <c r="A30" s="2">
        <v>5</v>
      </c>
      <c r="B30" s="3" t="s">
        <v>268</v>
      </c>
      <c r="C30" s="4" t="s">
        <v>50</v>
      </c>
      <c r="D30" s="226">
        <f>VLOOKUP(B30,[1]Dcu!$B$3:$D$511,3,0)</f>
        <v>12</v>
      </c>
      <c r="E30" s="2">
        <v>0.2</v>
      </c>
      <c r="F30" s="110">
        <f>VLOOKUP(B30,[1]Dcu!$B$3:$F$511,5,0)</f>
        <v>18181.81818181818</v>
      </c>
      <c r="G30" s="38">
        <f t="shared" si="1"/>
        <v>11.655011655011656</v>
      </c>
    </row>
    <row r="31" spans="1:7" ht="21.75" customHeight="1">
      <c r="A31" s="2">
        <v>6</v>
      </c>
      <c r="B31" s="111" t="s">
        <v>269</v>
      </c>
      <c r="C31" s="4" t="s">
        <v>50</v>
      </c>
      <c r="D31" s="226">
        <f>VLOOKUP(B31,[1]Dcu!$B$3:$D$511,3,0)</f>
        <v>24</v>
      </c>
      <c r="E31" s="2">
        <v>0.12</v>
      </c>
      <c r="F31" s="110">
        <f>VLOOKUP(B31,[1]Dcu!$B$3:$F$511,5,0)</f>
        <v>99999.999999999985</v>
      </c>
      <c r="G31" s="38">
        <f t="shared" si="1"/>
        <v>19.230769230769226</v>
      </c>
    </row>
    <row r="32" spans="1:7" ht="21.75" customHeight="1">
      <c r="A32" s="2">
        <v>7</v>
      </c>
      <c r="B32" s="112" t="s">
        <v>361</v>
      </c>
      <c r="C32" s="4" t="s">
        <v>49</v>
      </c>
      <c r="D32" s="226">
        <f>VLOOKUP(B32,[1]Dcu!$B$3:$D$511,3,0)</f>
        <v>0.3</v>
      </c>
      <c r="E32" s="2">
        <v>0.03</v>
      </c>
      <c r="F32" s="110">
        <f>VLOOKUP(B32,[1]Dcu!$B$3:$F$511,5,0)</f>
        <v>181818.18181818179</v>
      </c>
      <c r="G32" s="38">
        <f t="shared" si="1"/>
        <v>699.30069930069919</v>
      </c>
    </row>
    <row r="33" spans="1:7" ht="21.75" customHeight="1">
      <c r="A33" s="129" t="s">
        <v>261</v>
      </c>
      <c r="B33" s="112" t="s">
        <v>5</v>
      </c>
      <c r="C33" s="325" t="s">
        <v>270</v>
      </c>
      <c r="D33" s="326"/>
      <c r="E33" s="327"/>
      <c r="F33" s="110"/>
      <c r="G33" s="248">
        <f>G24</f>
        <v>1992.9195804195801</v>
      </c>
    </row>
    <row r="34" spans="1:7" ht="21.75" customHeight="1">
      <c r="A34" s="129" t="s">
        <v>262</v>
      </c>
      <c r="B34" s="133" t="s">
        <v>230</v>
      </c>
      <c r="C34" s="325" t="s">
        <v>270</v>
      </c>
      <c r="D34" s="326"/>
      <c r="E34" s="327"/>
      <c r="F34" s="110"/>
      <c r="G34" s="248">
        <f>G24</f>
        <v>1992.9195804195801</v>
      </c>
    </row>
    <row r="35" spans="1:7" ht="21.75" customHeight="1">
      <c r="A35" s="129" t="s">
        <v>384</v>
      </c>
      <c r="B35" s="112" t="s">
        <v>387</v>
      </c>
      <c r="C35" s="325" t="s">
        <v>270</v>
      </c>
      <c r="D35" s="326"/>
      <c r="E35" s="327"/>
      <c r="F35" s="110"/>
      <c r="G35" s="248">
        <f>G24</f>
        <v>1992.9195804195801</v>
      </c>
    </row>
    <row r="36" spans="1:7" ht="21.75" customHeight="1">
      <c r="A36" s="129" t="s">
        <v>385</v>
      </c>
      <c r="B36" s="112" t="s">
        <v>386</v>
      </c>
      <c r="C36" s="325" t="s">
        <v>270</v>
      </c>
      <c r="D36" s="326"/>
      <c r="E36" s="327"/>
      <c r="F36" s="110"/>
      <c r="G36" s="248">
        <f>G35</f>
        <v>1992.9195804195801</v>
      </c>
    </row>
    <row r="37" spans="1:7" ht="21.75" customHeight="1">
      <c r="A37" s="129" t="s">
        <v>388</v>
      </c>
      <c r="B37" s="112" t="s">
        <v>241</v>
      </c>
      <c r="C37" s="325" t="s">
        <v>270</v>
      </c>
      <c r="D37" s="326"/>
      <c r="E37" s="327"/>
      <c r="F37" s="110"/>
      <c r="G37" s="248">
        <f>G24</f>
        <v>1992.9195804195801</v>
      </c>
    </row>
    <row r="38" spans="1:7" ht="21.75" customHeight="1">
      <c r="A38" s="129" t="s">
        <v>389</v>
      </c>
      <c r="B38" s="112" t="s">
        <v>240</v>
      </c>
      <c r="C38" s="325" t="s">
        <v>270</v>
      </c>
      <c r="D38" s="326"/>
      <c r="E38" s="327"/>
      <c r="F38" s="110"/>
      <c r="G38" s="248">
        <f>G36</f>
        <v>1992.9195804195801</v>
      </c>
    </row>
    <row r="39" spans="1:7" ht="15.75">
      <c r="A39" s="129" t="s">
        <v>391</v>
      </c>
      <c r="B39" s="112" t="s">
        <v>390</v>
      </c>
      <c r="C39" s="325" t="s">
        <v>270</v>
      </c>
      <c r="D39" s="326"/>
      <c r="E39" s="327"/>
      <c r="F39" s="110"/>
      <c r="G39" s="248">
        <f>G24</f>
        <v>1992.9195804195801</v>
      </c>
    </row>
    <row r="40" spans="1:7" ht="15.75">
      <c r="A40" s="129" t="s">
        <v>392</v>
      </c>
      <c r="B40" s="112" t="s">
        <v>397</v>
      </c>
      <c r="C40" s="325" t="s">
        <v>270</v>
      </c>
      <c r="D40" s="326"/>
      <c r="E40" s="327"/>
      <c r="F40" s="110"/>
      <c r="G40" s="248">
        <f>G36</f>
        <v>1992.9195804195801</v>
      </c>
    </row>
    <row r="41" spans="1:7" ht="15.75">
      <c r="A41" s="129" t="s">
        <v>393</v>
      </c>
      <c r="B41" s="112" t="s">
        <v>398</v>
      </c>
      <c r="C41" s="325" t="s">
        <v>270</v>
      </c>
      <c r="D41" s="326"/>
      <c r="E41" s="327"/>
      <c r="F41" s="110"/>
      <c r="G41" s="248">
        <f>G36</f>
        <v>1992.9195804195801</v>
      </c>
    </row>
    <row r="42" spans="1:7" ht="15.75">
      <c r="A42" s="129" t="s">
        <v>394</v>
      </c>
      <c r="B42" s="112" t="s">
        <v>405</v>
      </c>
      <c r="C42" s="325" t="s">
        <v>270</v>
      </c>
      <c r="D42" s="326"/>
      <c r="E42" s="327"/>
      <c r="F42" s="110"/>
      <c r="G42" s="248">
        <f>G36</f>
        <v>1992.9195804195801</v>
      </c>
    </row>
    <row r="43" spans="1:7" ht="15.75">
      <c r="A43" s="129" t="s">
        <v>407</v>
      </c>
      <c r="B43" s="112" t="s">
        <v>399</v>
      </c>
      <c r="C43" s="325" t="s">
        <v>270</v>
      </c>
      <c r="D43" s="326"/>
      <c r="E43" s="327"/>
      <c r="F43" s="110"/>
      <c r="G43" s="248">
        <f>G36</f>
        <v>1992.9195804195801</v>
      </c>
    </row>
    <row r="44" spans="1:7" ht="15.75">
      <c r="A44" s="129" t="s">
        <v>395</v>
      </c>
      <c r="B44" s="112" t="s">
        <v>401</v>
      </c>
      <c r="C44" s="325" t="s">
        <v>270</v>
      </c>
      <c r="D44" s="326"/>
      <c r="E44" s="327"/>
      <c r="F44" s="110"/>
      <c r="G44" s="248">
        <f>G36</f>
        <v>1992.9195804195801</v>
      </c>
    </row>
    <row r="45" spans="1:7" ht="15.75">
      <c r="A45" s="129" t="s">
        <v>396</v>
      </c>
      <c r="B45" s="112" t="s">
        <v>400</v>
      </c>
      <c r="C45" s="325" t="s">
        <v>270</v>
      </c>
      <c r="D45" s="326"/>
      <c r="E45" s="327"/>
      <c r="F45" s="110"/>
      <c r="G45" s="248">
        <f>G36</f>
        <v>1992.9195804195801</v>
      </c>
    </row>
    <row r="46" spans="1:7" ht="15.75">
      <c r="A46" s="129" t="s">
        <v>408</v>
      </c>
      <c r="B46" s="112" t="s">
        <v>402</v>
      </c>
      <c r="C46" s="325" t="s">
        <v>270</v>
      </c>
      <c r="D46" s="326"/>
      <c r="E46" s="327"/>
      <c r="F46" s="110"/>
      <c r="G46" s="248">
        <f>G36</f>
        <v>1992.9195804195801</v>
      </c>
    </row>
    <row r="47" spans="1:7" ht="15.75">
      <c r="A47" s="129" t="s">
        <v>409</v>
      </c>
      <c r="B47" s="112" t="s">
        <v>403</v>
      </c>
      <c r="C47" s="325" t="s">
        <v>270</v>
      </c>
      <c r="D47" s="326"/>
      <c r="E47" s="327"/>
      <c r="F47" s="110"/>
      <c r="G47" s="248">
        <f>G36</f>
        <v>1992.9195804195801</v>
      </c>
    </row>
    <row r="48" spans="1:7" ht="15.75">
      <c r="A48" s="129" t="s">
        <v>410</v>
      </c>
      <c r="B48" s="112" t="s">
        <v>404</v>
      </c>
      <c r="C48" s="325" t="s">
        <v>270</v>
      </c>
      <c r="D48" s="326"/>
      <c r="E48" s="327"/>
      <c r="F48" s="110"/>
      <c r="G48" s="248">
        <f>G36</f>
        <v>1992.9195804195801</v>
      </c>
    </row>
    <row r="49" spans="1:7" ht="15.75">
      <c r="A49" s="129" t="s">
        <v>411</v>
      </c>
      <c r="B49" s="112" t="s">
        <v>406</v>
      </c>
      <c r="C49" s="325" t="s">
        <v>270</v>
      </c>
      <c r="D49" s="326"/>
      <c r="E49" s="327"/>
      <c r="F49" s="110"/>
      <c r="G49" s="248">
        <f>G36</f>
        <v>1992.9195804195801</v>
      </c>
    </row>
    <row r="50" spans="1:7" ht="15.75">
      <c r="A50" s="129" t="s">
        <v>434</v>
      </c>
      <c r="B50" s="112" t="s">
        <v>433</v>
      </c>
      <c r="C50" s="325" t="s">
        <v>270</v>
      </c>
      <c r="D50" s="326"/>
      <c r="E50" s="327"/>
      <c r="F50" s="110"/>
      <c r="G50" s="248">
        <f>G49</f>
        <v>1992.9195804195801</v>
      </c>
    </row>
    <row r="51" spans="1:7" s="103" customFormat="1" ht="21.75" customHeight="1">
      <c r="A51" s="139" t="s">
        <v>263</v>
      </c>
      <c r="B51" s="140" t="s">
        <v>4</v>
      </c>
      <c r="C51" s="134"/>
      <c r="D51" s="134"/>
      <c r="E51" s="135"/>
      <c r="F51" s="141"/>
      <c r="G51" s="141">
        <f>SUM(G52:G59)*1.05</f>
        <v>1992.9195804195801</v>
      </c>
    </row>
    <row r="52" spans="1:7" ht="21.75" customHeight="1">
      <c r="A52" s="2">
        <v>1</v>
      </c>
      <c r="B52" s="138" t="s">
        <v>271</v>
      </c>
      <c r="C52" s="4" t="s">
        <v>50</v>
      </c>
      <c r="D52" s="226">
        <f>VLOOKUP(B52,[1]Dcu!$B$3:$D$511,3,0)</f>
        <v>6</v>
      </c>
      <c r="E52" s="2">
        <v>0.16</v>
      </c>
      <c r="F52" s="110">
        <f>VLOOKUP(B52,[1]Dcu!$B$3:$F$511,5,0)</f>
        <v>727272.72727272718</v>
      </c>
      <c r="G52" s="38">
        <f t="shared" si="1"/>
        <v>745.92074592074584</v>
      </c>
    </row>
    <row r="53" spans="1:7" ht="21.75" customHeight="1">
      <c r="A53" s="2">
        <v>2</v>
      </c>
      <c r="B53" s="3" t="s">
        <v>272</v>
      </c>
      <c r="C53" s="4" t="s">
        <v>266</v>
      </c>
      <c r="D53" s="226">
        <f>VLOOKUP(B53,[1]Dcu!$B$3:$D$511,3,0)</f>
        <v>6</v>
      </c>
      <c r="E53" s="2">
        <v>0.2</v>
      </c>
      <c r="F53" s="110">
        <f>VLOOKUP(B53,[1]Dcu!$B$3:$F$511,5,0)</f>
        <v>272727.27272727271</v>
      </c>
      <c r="G53" s="38">
        <f t="shared" si="1"/>
        <v>349.65034965034965</v>
      </c>
    </row>
    <row r="54" spans="1:7" ht="21.75" customHeight="1">
      <c r="A54" s="2">
        <v>2</v>
      </c>
      <c r="B54" s="111" t="s">
        <v>233</v>
      </c>
      <c r="C54" s="4" t="s">
        <v>22</v>
      </c>
      <c r="D54" s="226">
        <f>VLOOKUP(B54,[1]Dcu!$B$3:$D$511,3,0)</f>
        <v>12</v>
      </c>
      <c r="E54" s="2">
        <v>0.24</v>
      </c>
      <c r="F54" s="110">
        <f>VLOOKUP(B54,[1]Dcu!$B$3:$F$511,5,0)</f>
        <v>45454.545454545449</v>
      </c>
      <c r="G54" s="38">
        <f t="shared" si="1"/>
        <v>34.96503496503496</v>
      </c>
    </row>
    <row r="55" spans="1:7" ht="21.75" customHeight="1">
      <c r="A55" s="2">
        <v>3</v>
      </c>
      <c r="B55" s="40" t="s">
        <v>345</v>
      </c>
      <c r="C55" s="4" t="s">
        <v>64</v>
      </c>
      <c r="D55" s="226">
        <f>VLOOKUP(B55,[1]Dcu!$B$3:$D$511,3,0)</f>
        <v>6</v>
      </c>
      <c r="E55" s="2">
        <v>0.2</v>
      </c>
      <c r="F55" s="110">
        <f>VLOOKUP(B55,[1]Dcu!$B$3:$F$511,5,0)</f>
        <v>22727.272727272724</v>
      </c>
      <c r="G55" s="38">
        <f t="shared" si="1"/>
        <v>29.137529137529135</v>
      </c>
    </row>
    <row r="56" spans="1:7" ht="21.75" customHeight="1">
      <c r="A56" s="2">
        <v>4</v>
      </c>
      <c r="B56" s="3" t="s">
        <v>267</v>
      </c>
      <c r="C56" s="4" t="s">
        <v>64</v>
      </c>
      <c r="D56" s="226">
        <f>VLOOKUP(B56,[1]Dcu!$B$3:$D$511,3,0)</f>
        <v>6</v>
      </c>
      <c r="E56" s="2">
        <v>0.2</v>
      </c>
      <c r="F56" s="110">
        <f>VLOOKUP(B56,[1]Dcu!$B$3:$F$511,5,0)</f>
        <v>6363.6363636363631</v>
      </c>
      <c r="G56" s="38">
        <f t="shared" si="1"/>
        <v>8.1585081585081589</v>
      </c>
    </row>
    <row r="57" spans="1:7" ht="21.75" customHeight="1">
      <c r="A57" s="2">
        <v>5</v>
      </c>
      <c r="B57" s="3" t="s">
        <v>268</v>
      </c>
      <c r="C57" s="4" t="s">
        <v>50</v>
      </c>
      <c r="D57" s="226">
        <f>VLOOKUP(B57,[1]Dcu!$B$3:$D$511,3,0)</f>
        <v>12</v>
      </c>
      <c r="E57" s="2">
        <v>0.2</v>
      </c>
      <c r="F57" s="110">
        <f>VLOOKUP(B57,[1]Dcu!$B$3:$F$511,5,0)</f>
        <v>18181.81818181818</v>
      </c>
      <c r="G57" s="38">
        <f t="shared" si="1"/>
        <v>11.655011655011656</v>
      </c>
    </row>
    <row r="58" spans="1:7" ht="21.75" customHeight="1">
      <c r="A58" s="2">
        <v>6</v>
      </c>
      <c r="B58" s="111" t="s">
        <v>269</v>
      </c>
      <c r="C58" s="4" t="s">
        <v>50</v>
      </c>
      <c r="D58" s="226">
        <f>VLOOKUP(B58,[1]Dcu!$B$3:$D$511,3,0)</f>
        <v>24</v>
      </c>
      <c r="E58" s="2">
        <v>0.12</v>
      </c>
      <c r="F58" s="110">
        <f>VLOOKUP(B58,[1]Dcu!$B$3:$F$511,5,0)</f>
        <v>99999.999999999985</v>
      </c>
      <c r="G58" s="38">
        <f t="shared" si="1"/>
        <v>19.230769230769226</v>
      </c>
    </row>
    <row r="59" spans="1:7" ht="18.75" customHeight="1">
      <c r="A59" s="2">
        <v>7</v>
      </c>
      <c r="B59" s="112" t="s">
        <v>361</v>
      </c>
      <c r="C59" s="4" t="s">
        <v>49</v>
      </c>
      <c r="D59" s="226">
        <f>VLOOKUP(B59,[1]Dcu!$B$3:$D$511,3,0)</f>
        <v>0.3</v>
      </c>
      <c r="E59" s="2">
        <v>0.03</v>
      </c>
      <c r="F59" s="110">
        <f>VLOOKUP(B59,[1]Dcu!$B$3:$F$511,5,0)</f>
        <v>181818.18181818179</v>
      </c>
      <c r="G59" s="38">
        <f t="shared" si="1"/>
        <v>699.30069930069919</v>
      </c>
    </row>
    <row r="60" spans="1:7" ht="21.75" customHeight="1">
      <c r="A60" s="129" t="s">
        <v>264</v>
      </c>
      <c r="B60" s="133" t="s">
        <v>6</v>
      </c>
      <c r="C60" s="325" t="s">
        <v>270</v>
      </c>
      <c r="D60" s="326"/>
      <c r="E60" s="327"/>
      <c r="F60" s="124"/>
      <c r="G60" s="141">
        <f>G24</f>
        <v>1992.9195804195801</v>
      </c>
    </row>
    <row r="61" spans="1:7" ht="21.75" customHeight="1">
      <c r="A61" s="129" t="s">
        <v>322</v>
      </c>
      <c r="B61" s="112" t="s">
        <v>7</v>
      </c>
      <c r="C61" s="325" t="s">
        <v>270</v>
      </c>
      <c r="D61" s="326"/>
      <c r="E61" s="327"/>
      <c r="F61" s="124"/>
      <c r="G61" s="141">
        <f>G24</f>
        <v>1992.9195804195801</v>
      </c>
    </row>
    <row r="62" spans="1:7" ht="21.75" customHeight="1">
      <c r="A62" s="129" t="s">
        <v>321</v>
      </c>
      <c r="B62" s="112" t="s">
        <v>8</v>
      </c>
      <c r="C62" s="325" t="s">
        <v>270</v>
      </c>
      <c r="D62" s="326"/>
      <c r="E62" s="327"/>
      <c r="F62" s="124"/>
      <c r="G62" s="141">
        <f>G24</f>
        <v>1992.9195804195801</v>
      </c>
    </row>
    <row r="63" spans="1:7" ht="21.75" customHeight="1">
      <c r="A63" s="129" t="s">
        <v>323</v>
      </c>
      <c r="B63" s="112" t="s">
        <v>231</v>
      </c>
      <c r="C63" s="325" t="s">
        <v>270</v>
      </c>
      <c r="D63" s="326"/>
      <c r="E63" s="327"/>
      <c r="F63" s="124"/>
      <c r="G63" s="141">
        <f>G24</f>
        <v>1992.9195804195801</v>
      </c>
    </row>
    <row r="64" spans="1:7" ht="21.75" customHeight="1">
      <c r="A64" s="129" t="s">
        <v>324</v>
      </c>
      <c r="B64" s="112" t="s">
        <v>9</v>
      </c>
      <c r="C64" s="325" t="s">
        <v>270</v>
      </c>
      <c r="D64" s="326"/>
      <c r="E64" s="327"/>
      <c r="F64" s="124"/>
      <c r="G64" s="141">
        <f>G24</f>
        <v>1992.9195804195801</v>
      </c>
    </row>
    <row r="65" spans="1:7" ht="21.75" customHeight="1">
      <c r="A65" s="129" t="s">
        <v>265</v>
      </c>
      <c r="B65" s="133" t="s">
        <v>143</v>
      </c>
      <c r="C65" s="325" t="s">
        <v>270</v>
      </c>
      <c r="D65" s="326"/>
      <c r="E65" s="327"/>
      <c r="F65" s="124"/>
      <c r="G65" s="141">
        <f>G24</f>
        <v>1992.9195804195801</v>
      </c>
    </row>
    <row r="66" spans="1:7" ht="21.75" customHeight="1">
      <c r="A66" s="13" t="s">
        <v>214</v>
      </c>
      <c r="B66" s="342" t="s">
        <v>355</v>
      </c>
      <c r="C66" s="343"/>
      <c r="D66" s="343"/>
      <c r="E66" s="344"/>
      <c r="F66" s="121"/>
      <c r="G66" s="121"/>
    </row>
    <row r="67" spans="1:7" ht="21.75" customHeight="1">
      <c r="A67" s="1" t="s">
        <v>318</v>
      </c>
      <c r="B67" s="331" t="s">
        <v>216</v>
      </c>
      <c r="C67" s="331"/>
      <c r="D67" s="331"/>
      <c r="E67" s="109"/>
      <c r="F67" s="110"/>
      <c r="G67" s="248">
        <f>SUM(G68:G83)*1.05+G84</f>
        <v>9466.5069347319331</v>
      </c>
    </row>
    <row r="68" spans="1:7" ht="21.75" customHeight="1">
      <c r="A68" s="2">
        <v>1</v>
      </c>
      <c r="B68" s="3" t="s">
        <v>219</v>
      </c>
      <c r="C68" s="4" t="s">
        <v>220</v>
      </c>
      <c r="D68" s="226">
        <f>VLOOKUP(B68,[1]Dcu!$B$3:$D$511,3,0)</f>
        <v>6</v>
      </c>
      <c r="E68" s="2">
        <v>0.4</v>
      </c>
      <c r="F68" s="110">
        <f>VLOOKUP(B68,[1]Dcu!$B$3:$F$511,5,0)</f>
        <v>454545.45454545453</v>
      </c>
      <c r="G68" s="38">
        <f t="shared" ref="G68" si="2">F68/(D68*26)*E68</f>
        <v>1165.5011655011656</v>
      </c>
    </row>
    <row r="69" spans="1:7" ht="21.75" customHeight="1">
      <c r="A69" s="2">
        <v>2</v>
      </c>
      <c r="B69" s="111" t="s">
        <v>232</v>
      </c>
      <c r="C69" s="4" t="s">
        <v>220</v>
      </c>
      <c r="D69" s="226">
        <f>VLOOKUP(B69,[1]Dcu!$B$3:$D$511,3,0)</f>
        <v>24</v>
      </c>
      <c r="E69" s="2">
        <v>0.4</v>
      </c>
      <c r="F69" s="110">
        <f>VLOOKUP(B69,[1]Dcu!$B$3:$F$511,5,0)</f>
        <v>2727272.7272727271</v>
      </c>
      <c r="G69" s="38">
        <f t="shared" ref="G69:G70" si="3">F69/(D69*26)*E69</f>
        <v>1748.251748251748</v>
      </c>
    </row>
    <row r="70" spans="1:7" ht="21.75" customHeight="1">
      <c r="A70" s="2">
        <v>3</v>
      </c>
      <c r="B70" s="40" t="s">
        <v>345</v>
      </c>
      <c r="C70" s="4" t="s">
        <v>16</v>
      </c>
      <c r="D70" s="226">
        <f>VLOOKUP(B70,[1]Dcu!$B$3:$D$511,3,0)</f>
        <v>6</v>
      </c>
      <c r="E70" s="2">
        <v>0.4</v>
      </c>
      <c r="F70" s="110">
        <f>VLOOKUP(B70,[1]Dcu!$B$3:$F$511,5,0)</f>
        <v>22727.272727272724</v>
      </c>
      <c r="G70" s="38">
        <f t="shared" si="3"/>
        <v>58.275058275058271</v>
      </c>
    </row>
    <row r="71" spans="1:7" ht="21.75" customHeight="1">
      <c r="A71" s="2">
        <v>4</v>
      </c>
      <c r="B71" s="112" t="s">
        <v>361</v>
      </c>
      <c r="C71" s="4" t="s">
        <v>49</v>
      </c>
      <c r="D71" s="226">
        <f>VLOOKUP(B71,[1]Dcu!$B$3:$D$511,3,0)</f>
        <v>0.3</v>
      </c>
      <c r="E71" s="2">
        <v>0.03</v>
      </c>
      <c r="F71" s="110">
        <f>VLOOKUP(B71,[1]Dcu!$B$3:$F$511,5,0)</f>
        <v>181818.18181818179</v>
      </c>
      <c r="G71" s="38">
        <f t="shared" ref="G71" si="4">F71/(D71*26)*E71</f>
        <v>699.30069930069919</v>
      </c>
    </row>
    <row r="72" spans="1:7" ht="21.75" customHeight="1">
      <c r="A72" s="2">
        <v>5</v>
      </c>
      <c r="B72" s="3" t="s">
        <v>360</v>
      </c>
      <c r="C72" s="4" t="s">
        <v>16</v>
      </c>
      <c r="D72" s="226">
        <f>VLOOKUP(B72,[1]Dcu!$B$3:$D$511,3,0)</f>
        <v>12</v>
      </c>
      <c r="E72" s="2">
        <v>0.4</v>
      </c>
      <c r="F72" s="110">
        <f>VLOOKUP(B72,[1]Dcu!$B$3:$F$511,5,0)</f>
        <v>27272.727272727272</v>
      </c>
      <c r="G72" s="38">
        <f t="shared" ref="G72:G93" si="5">F72/(D72*26)*E72</f>
        <v>34.965034965034967</v>
      </c>
    </row>
    <row r="73" spans="1:7" ht="21.75" customHeight="1">
      <c r="A73" s="2">
        <v>6</v>
      </c>
      <c r="B73" s="3" t="s">
        <v>26</v>
      </c>
      <c r="C73" s="4" t="s">
        <v>49</v>
      </c>
      <c r="D73" s="226">
        <f>VLOOKUP(B73,[1]Dcu!$B$3:$D$511,3,0)</f>
        <v>0.3</v>
      </c>
      <c r="E73" s="2">
        <v>0.03</v>
      </c>
      <c r="F73" s="110">
        <f>VLOOKUP(B73,[1]Dcu!$B$3:$F$511,5,0)</f>
        <v>363636.36363636359</v>
      </c>
      <c r="G73" s="38">
        <f t="shared" ref="G73:G75" si="6">F73/(D73*26)*E73</f>
        <v>1398.6013986013984</v>
      </c>
    </row>
    <row r="74" spans="1:7" ht="21.75" customHeight="1">
      <c r="A74" s="2">
        <v>7</v>
      </c>
      <c r="B74" s="112" t="s">
        <v>233</v>
      </c>
      <c r="C74" s="4" t="s">
        <v>234</v>
      </c>
      <c r="D74" s="226">
        <f>VLOOKUP(B74,[1]Dcu!$B$3:$D$511,3,0)</f>
        <v>12</v>
      </c>
      <c r="E74" s="2">
        <v>0.6</v>
      </c>
      <c r="F74" s="110">
        <f>VLOOKUP(B74,[1]Dcu!$B$3:$F$511,5,0)</f>
        <v>45454.545454545449</v>
      </c>
      <c r="G74" s="38">
        <f t="shared" si="6"/>
        <v>87.412587412587399</v>
      </c>
    </row>
    <row r="75" spans="1:7" ht="21.75" customHeight="1">
      <c r="A75" s="2">
        <v>8</v>
      </c>
      <c r="B75" s="3" t="s">
        <v>27</v>
      </c>
      <c r="C75" s="4" t="s">
        <v>16</v>
      </c>
      <c r="D75" s="226">
        <f>VLOOKUP(B75,[1]Dcu!$B$3:$D$511,3,0)</f>
        <v>60</v>
      </c>
      <c r="E75" s="2">
        <v>5.2999999999999999E-2</v>
      </c>
      <c r="F75" s="110">
        <f>VLOOKUP(B75,[1]Dcu!$B$3:$F$511,5,0)</f>
        <v>454545.45454545453</v>
      </c>
      <c r="G75" s="38">
        <f t="shared" si="6"/>
        <v>15.442890442890441</v>
      </c>
    </row>
    <row r="76" spans="1:7" ht="21.75" customHeight="1">
      <c r="A76" s="2">
        <v>9</v>
      </c>
      <c r="B76" s="3" t="s">
        <v>28</v>
      </c>
      <c r="C76" s="4" t="s">
        <v>16</v>
      </c>
      <c r="D76" s="226">
        <f>VLOOKUP(B76,[1]Dcu!$B$3:$D$511,3,0)</f>
        <v>60</v>
      </c>
      <c r="E76" s="4">
        <v>5.2999999999999999E-2</v>
      </c>
      <c r="F76" s="110">
        <f>VLOOKUP(B76,[1]Dcu!$B$3:$F$511,5,0)</f>
        <v>227272.72727272726</v>
      </c>
      <c r="G76" s="38">
        <f t="shared" ref="G76" si="7">F76/(D76*26)*E76</f>
        <v>7.7214452214452205</v>
      </c>
    </row>
    <row r="77" spans="1:7" ht="21.75" customHeight="1">
      <c r="A77" s="2">
        <v>10</v>
      </c>
      <c r="B77" s="3" t="s">
        <v>29</v>
      </c>
      <c r="C77" s="4" t="s">
        <v>16</v>
      </c>
      <c r="D77" s="226">
        <f>VLOOKUP(B77,[1]Dcu!$B$3:$D$511,3,0)</f>
        <v>60</v>
      </c>
      <c r="E77" s="4">
        <v>3.0000000000000001E-3</v>
      </c>
      <c r="F77" s="110">
        <f>VLOOKUP(B77,[1]Dcu!$B$3:$F$511,5,0)</f>
        <v>1454545.4545454544</v>
      </c>
      <c r="G77" s="38">
        <f t="shared" ref="G77" si="8">F77/(D77*26)*E77</f>
        <v>2.7972027972027971</v>
      </c>
    </row>
    <row r="78" spans="1:7" ht="21.75" customHeight="1">
      <c r="A78" s="2">
        <v>11</v>
      </c>
      <c r="B78" s="3" t="s">
        <v>30</v>
      </c>
      <c r="C78" s="4" t="s">
        <v>16</v>
      </c>
      <c r="D78" s="226">
        <f>VLOOKUP(B78,[1]Dcu!$B$3:$D$511,3,0)</f>
        <v>60</v>
      </c>
      <c r="E78" s="4">
        <v>0.01</v>
      </c>
      <c r="F78" s="110">
        <f>VLOOKUP(B78,[1]Dcu!$B$3:$F$511,5,0)</f>
        <v>1363636.3636363635</v>
      </c>
      <c r="G78" s="38">
        <f t="shared" ref="G78" si="9">F78/(D78*26)*E78</f>
        <v>8.7412587412587399</v>
      </c>
    </row>
    <row r="79" spans="1:7" ht="21.75" customHeight="1">
      <c r="A79" s="2">
        <v>12</v>
      </c>
      <c r="B79" s="3" t="s">
        <v>31</v>
      </c>
      <c r="C79" s="4" t="s">
        <v>22</v>
      </c>
      <c r="D79" s="226">
        <f>VLOOKUP(B79,[1]Dcu!$B$3:$D$511,3,0)</f>
        <v>36</v>
      </c>
      <c r="E79" s="4">
        <v>0.32</v>
      </c>
      <c r="F79" s="110">
        <f>VLOOKUP(B79,[1]Dcu!$B$3:$F$511,5,0)</f>
        <v>36363.63636363636</v>
      </c>
      <c r="G79" s="38">
        <f t="shared" ref="G79:G80" si="10">F79/(D79*26)*E79</f>
        <v>12.432012432012431</v>
      </c>
    </row>
    <row r="80" spans="1:7" ht="21.75" customHeight="1">
      <c r="A80" s="2">
        <v>13</v>
      </c>
      <c r="B80" s="3" t="s">
        <v>32</v>
      </c>
      <c r="C80" s="4" t="s">
        <v>16</v>
      </c>
      <c r="D80" s="226">
        <f>VLOOKUP(B80,[1]Dcu!$B$3:$D$511,3,0)</f>
        <v>96</v>
      </c>
      <c r="E80" s="4">
        <v>0.08</v>
      </c>
      <c r="F80" s="110">
        <f>VLOOKUP(B80,[1]Dcu!$B$3:$F$511,5,0)</f>
        <v>909090.90909090906</v>
      </c>
      <c r="G80" s="38">
        <f t="shared" si="10"/>
        <v>29.137529137529135</v>
      </c>
    </row>
    <row r="81" spans="1:7" ht="21.75" customHeight="1">
      <c r="A81" s="2">
        <v>14</v>
      </c>
      <c r="B81" s="3" t="s">
        <v>33</v>
      </c>
      <c r="C81" s="4" t="s">
        <v>16</v>
      </c>
      <c r="D81" s="226">
        <f>VLOOKUP(B81,[1]Dcu!$B$3:$D$511,3,0)</f>
        <v>96</v>
      </c>
      <c r="E81" s="4">
        <v>0.8</v>
      </c>
      <c r="F81" s="110">
        <f>VLOOKUP(B81,[1]Dcu!$B$3:$F$511,5,0)</f>
        <v>272727.27272727271</v>
      </c>
      <c r="G81" s="38">
        <f t="shared" ref="G81:G82" si="11">F81/(D81*26)*E81</f>
        <v>87.412587412587413</v>
      </c>
    </row>
    <row r="82" spans="1:7" ht="21.75" customHeight="1">
      <c r="A82" s="2">
        <v>15</v>
      </c>
      <c r="B82" s="3" t="s">
        <v>34</v>
      </c>
      <c r="C82" s="4" t="s">
        <v>16</v>
      </c>
      <c r="D82" s="226">
        <f>VLOOKUP(B82,[1]Dcu!$B$3:$D$511,3,0)</f>
        <v>96</v>
      </c>
      <c r="E82" s="4">
        <v>0.6</v>
      </c>
      <c r="F82" s="110">
        <f>VLOOKUP(B82,[1]Dcu!$B$3:$F$511,5,0)</f>
        <v>72727.272727272721</v>
      </c>
      <c r="G82" s="38">
        <f t="shared" si="11"/>
        <v>17.48251748251748</v>
      </c>
    </row>
    <row r="83" spans="1:7" ht="21.75" customHeight="1">
      <c r="A83" s="2">
        <v>17</v>
      </c>
      <c r="B83" s="86" t="s">
        <v>235</v>
      </c>
      <c r="C83" s="4" t="s">
        <v>220</v>
      </c>
      <c r="D83" s="226">
        <f>VLOOKUP(B83,[1]Dcu!$B$3:$D$511,3,0)</f>
        <v>6</v>
      </c>
      <c r="E83" s="2">
        <v>0.08</v>
      </c>
      <c r="F83" s="110">
        <f>VLOOKUP(B83,[1]Dcu!$B$3:$F$511,5,0)</f>
        <v>27272.727272727272</v>
      </c>
      <c r="G83" s="38">
        <f t="shared" ref="G83" si="12">F83/(D83*26)*E83</f>
        <v>13.986013986013987</v>
      </c>
    </row>
    <row r="84" spans="1:7" ht="21.75" customHeight="1">
      <c r="A84" s="2">
        <v>18</v>
      </c>
      <c r="B84" s="3" t="s">
        <v>35</v>
      </c>
      <c r="C84" s="4" t="s">
        <v>221</v>
      </c>
      <c r="D84" s="113"/>
      <c r="E84" s="109">
        <v>2.2799999999999998</v>
      </c>
      <c r="F84" s="110">
        <f>VLOOKUP(B84,[1]Dcu!$B$3:$F$511,5,0)</f>
        <v>1670.9090909090908</v>
      </c>
      <c r="G84" s="38">
        <f>E84*F84</f>
        <v>3809.6727272727267</v>
      </c>
    </row>
    <row r="85" spans="1:7" ht="21.75" customHeight="1">
      <c r="A85" s="1" t="s">
        <v>316</v>
      </c>
      <c r="B85" s="93" t="s">
        <v>294</v>
      </c>
      <c r="C85" s="41"/>
      <c r="D85" s="109"/>
      <c r="E85" s="109"/>
      <c r="F85" s="110"/>
      <c r="G85" s="248">
        <f>SUM(G86:G103)*1.05+G104</f>
        <v>21352.068706293703</v>
      </c>
    </row>
    <row r="86" spans="1:7" ht="21.75" customHeight="1">
      <c r="A86" s="2">
        <v>1</v>
      </c>
      <c r="B86" s="84" t="s">
        <v>20</v>
      </c>
      <c r="C86" s="41" t="s">
        <v>16</v>
      </c>
      <c r="D86" s="226">
        <f>VLOOKUP(B86,[1]Dcu!$B$3:$D$511,3,0)</f>
        <v>12</v>
      </c>
      <c r="E86" s="42">
        <v>0.4</v>
      </c>
      <c r="F86" s="110">
        <f>VLOOKUP(B86,[1]Dcu!$B$3:$F$511,5,0)</f>
        <v>80000</v>
      </c>
      <c r="G86" s="38">
        <f t="shared" ref="G86:G90" si="13">F86/(D86*26)*E86</f>
        <v>102.56410256410257</v>
      </c>
    </row>
    <row r="87" spans="1:7" ht="21.75" customHeight="1">
      <c r="A87" s="2">
        <v>2</v>
      </c>
      <c r="B87" s="84" t="s">
        <v>43</v>
      </c>
      <c r="C87" s="41" t="s">
        <v>16</v>
      </c>
      <c r="D87" s="226">
        <f>VLOOKUP(B87,[1]Dcu!$B$3:$D$511,3,0)</f>
        <v>12</v>
      </c>
      <c r="E87" s="42">
        <v>0.4</v>
      </c>
      <c r="F87" s="110">
        <f>VLOOKUP(B87,[1]Dcu!$B$3:$F$511,5,0)</f>
        <v>40000</v>
      </c>
      <c r="G87" s="38">
        <f t="shared" si="13"/>
        <v>51.282051282051285</v>
      </c>
    </row>
    <row r="88" spans="1:7" ht="21.75" customHeight="1">
      <c r="A88" s="2">
        <v>3</v>
      </c>
      <c r="B88" s="84" t="s">
        <v>59</v>
      </c>
      <c r="C88" s="41" t="s">
        <v>16</v>
      </c>
      <c r="D88" s="226">
        <f>VLOOKUP(B88,[1]Dcu!$B$3:$D$511,3,0)</f>
        <v>12</v>
      </c>
      <c r="E88" s="42">
        <v>0.4</v>
      </c>
      <c r="F88" s="110">
        <f>VLOOKUP(B88,[1]Dcu!$B$3:$F$511,5,0)</f>
        <v>31818.181818181816</v>
      </c>
      <c r="G88" s="38">
        <f t="shared" si="13"/>
        <v>40.792540792540791</v>
      </c>
    </row>
    <row r="89" spans="1:7" ht="21.75" customHeight="1">
      <c r="A89" s="2"/>
      <c r="B89" s="114" t="s">
        <v>440</v>
      </c>
      <c r="C89" s="115" t="s">
        <v>50</v>
      </c>
      <c r="D89" s="226">
        <f>VLOOKUP(B89,[1]Dcu!$B$3:$D$511,3,0)</f>
        <v>12</v>
      </c>
      <c r="E89" s="42">
        <v>0.4</v>
      </c>
      <c r="F89" s="110">
        <f>VLOOKUP(B89,[1]Dcu!$B$3:$E$511,4,0)</f>
        <v>13000000</v>
      </c>
      <c r="G89" s="38">
        <f t="shared" si="13"/>
        <v>16666.666666666668</v>
      </c>
    </row>
    <row r="90" spans="1:7" ht="21.75" customHeight="1">
      <c r="A90" s="2">
        <v>4</v>
      </c>
      <c r="B90" s="84" t="s">
        <v>41</v>
      </c>
      <c r="C90" s="41" t="s">
        <v>16</v>
      </c>
      <c r="D90" s="226">
        <f>VLOOKUP(B90,[1]Dcu!$B$3:$D$511,3,0)</f>
        <v>12</v>
      </c>
      <c r="E90" s="42">
        <v>0.4</v>
      </c>
      <c r="F90" s="110">
        <f>VLOOKUP(B90,[1]Dcu!$B$3:$F$511,5,0)</f>
        <v>68181.818181818177</v>
      </c>
      <c r="G90" s="38">
        <f t="shared" si="13"/>
        <v>87.412587412587413</v>
      </c>
    </row>
    <row r="91" spans="1:7" ht="21.75" customHeight="1">
      <c r="A91" s="2">
        <v>5</v>
      </c>
      <c r="B91" s="84" t="s">
        <v>42</v>
      </c>
      <c r="C91" s="41" t="s">
        <v>16</v>
      </c>
      <c r="D91" s="226">
        <f>VLOOKUP(B91,[1]Dcu!$B$3:$D$511,3,0)</f>
        <v>12</v>
      </c>
      <c r="E91" s="42">
        <v>0.4</v>
      </c>
      <c r="F91" s="110">
        <f>VLOOKUP(B91,[1]Dcu!$B$3:$F$511,5,0)</f>
        <v>13636.363636363636</v>
      </c>
      <c r="G91" s="38">
        <f t="shared" ref="G91" si="14">F91/(D91*26)*E91</f>
        <v>17.482517482517483</v>
      </c>
    </row>
    <row r="92" spans="1:7" ht="21.75" customHeight="1">
      <c r="A92" s="2">
        <v>6</v>
      </c>
      <c r="B92" s="84" t="s">
        <v>23</v>
      </c>
      <c r="C92" s="41" t="s">
        <v>16</v>
      </c>
      <c r="D92" s="226">
        <f>VLOOKUP(B92,[1]Dcu!$B$3:$D$511,3,0)</f>
        <v>36</v>
      </c>
      <c r="E92" s="42">
        <v>0.4</v>
      </c>
      <c r="F92" s="110">
        <f>VLOOKUP(B92,[1]Dcu!$B$3:$F$511,5,0)</f>
        <v>309090.90909090906</v>
      </c>
      <c r="G92" s="38">
        <f t="shared" ref="G92" si="15">F92/(D92*26)*E92</f>
        <v>132.09013209013207</v>
      </c>
    </row>
    <row r="93" spans="1:7" ht="21.75" customHeight="1">
      <c r="A93" s="2">
        <v>7</v>
      </c>
      <c r="B93" s="3" t="s">
        <v>360</v>
      </c>
      <c r="C93" s="4" t="s">
        <v>16</v>
      </c>
      <c r="D93" s="226">
        <f>VLOOKUP(B93,[1]Dcu!$B$3:$D$511,3,0)</f>
        <v>12</v>
      </c>
      <c r="E93" s="2">
        <v>0.4</v>
      </c>
      <c r="F93" s="110">
        <f>VLOOKUP(B93,[1]Dcu!$B$3:$F$511,5,0)</f>
        <v>27272.727272727272</v>
      </c>
      <c r="G93" s="38">
        <f t="shared" si="5"/>
        <v>34.965034965034967</v>
      </c>
    </row>
    <row r="94" spans="1:7" ht="21.75" customHeight="1">
      <c r="A94" s="2">
        <v>9</v>
      </c>
      <c r="B94" s="84" t="s">
        <v>361</v>
      </c>
      <c r="C94" s="4" t="s">
        <v>49</v>
      </c>
      <c r="D94" s="226">
        <f>VLOOKUP(B94,[1]Dcu!$B$3:$D$511,3,0)</f>
        <v>0.3</v>
      </c>
      <c r="E94" s="2">
        <v>0.03</v>
      </c>
      <c r="F94" s="110">
        <f>VLOOKUP(B94,[1]Dcu!$B$3:$F$511,5,0)</f>
        <v>181818.18181818179</v>
      </c>
      <c r="G94" s="38">
        <f t="shared" ref="G94:G96" si="16">F94/(D94*26)*E94</f>
        <v>699.30069930069919</v>
      </c>
    </row>
    <row r="95" spans="1:7" ht="21.75" customHeight="1">
      <c r="A95" s="2">
        <v>10</v>
      </c>
      <c r="B95" s="84" t="s">
        <v>26</v>
      </c>
      <c r="C95" s="4" t="s">
        <v>49</v>
      </c>
      <c r="D95" s="226">
        <f>VLOOKUP(B95,[1]Dcu!$B$3:$D$511,3,0)</f>
        <v>0.3</v>
      </c>
      <c r="E95" s="2">
        <v>0.03</v>
      </c>
      <c r="F95" s="110">
        <f>VLOOKUP(B95,[1]Dcu!$B$3:$F$511,5,0)</f>
        <v>363636.36363636359</v>
      </c>
      <c r="G95" s="38">
        <f t="shared" si="16"/>
        <v>1398.6013986013984</v>
      </c>
    </row>
    <row r="96" spans="1:7" ht="21.75" customHeight="1">
      <c r="A96" s="2">
        <v>11</v>
      </c>
      <c r="B96" s="84" t="s">
        <v>27</v>
      </c>
      <c r="C96" s="41" t="s">
        <v>16</v>
      </c>
      <c r="D96" s="226">
        <f>VLOOKUP(B96,[1]Dcu!$B$3:$D$511,3,0)</f>
        <v>60</v>
      </c>
      <c r="E96" s="2">
        <v>5.2999999999999999E-2</v>
      </c>
      <c r="F96" s="110">
        <f>VLOOKUP(B96,[1]Dcu!$B$3:$F$511,5,0)</f>
        <v>454545.45454545453</v>
      </c>
      <c r="G96" s="38">
        <f t="shared" si="16"/>
        <v>15.442890442890441</v>
      </c>
    </row>
    <row r="97" spans="1:7" ht="21.75" customHeight="1">
      <c r="A97" s="2">
        <v>12</v>
      </c>
      <c r="B97" s="84" t="s">
        <v>28</v>
      </c>
      <c r="C97" s="41" t="s">
        <v>16</v>
      </c>
      <c r="D97" s="226">
        <f>VLOOKUP(B97,[1]Dcu!$B$3:$D$511,3,0)</f>
        <v>60</v>
      </c>
      <c r="E97" s="4">
        <v>5.2999999999999999E-2</v>
      </c>
      <c r="F97" s="110">
        <f>VLOOKUP(B97,[1]Dcu!$B$3:$F$511,5,0)</f>
        <v>227272.72727272726</v>
      </c>
      <c r="G97" s="38">
        <f t="shared" ref="G97" si="17">F97/(D97*26)*E97</f>
        <v>7.7214452214452205</v>
      </c>
    </row>
    <row r="98" spans="1:7" ht="21.75" customHeight="1">
      <c r="A98" s="2">
        <v>13</v>
      </c>
      <c r="B98" s="84" t="s">
        <v>29</v>
      </c>
      <c r="C98" s="41" t="s">
        <v>16</v>
      </c>
      <c r="D98" s="226">
        <f>VLOOKUP(B98,[1]Dcu!$B$3:$D$511,3,0)</f>
        <v>60</v>
      </c>
      <c r="E98" s="4">
        <v>3.0000000000000001E-3</v>
      </c>
      <c r="F98" s="110">
        <f>VLOOKUP(B98,[1]Dcu!$B$3:$F$511,5,0)</f>
        <v>1454545.4545454544</v>
      </c>
      <c r="G98" s="38">
        <f t="shared" ref="G98" si="18">F98/(D98*26)*E98</f>
        <v>2.7972027972027971</v>
      </c>
    </row>
    <row r="99" spans="1:7" ht="21.75" customHeight="1">
      <c r="A99" s="2">
        <v>14</v>
      </c>
      <c r="B99" s="84" t="s">
        <v>30</v>
      </c>
      <c r="C99" s="41" t="s">
        <v>16</v>
      </c>
      <c r="D99" s="226">
        <f>VLOOKUP(B99,[1]Dcu!$B$3:$D$511,3,0)</f>
        <v>60</v>
      </c>
      <c r="E99" s="4">
        <v>0.01</v>
      </c>
      <c r="F99" s="110">
        <f>VLOOKUP(B99,[1]Dcu!$B$3:$F$511,5,0)</f>
        <v>1363636.3636363635</v>
      </c>
      <c r="G99" s="38">
        <f t="shared" ref="G99" si="19">F99/(D99*26)*E99</f>
        <v>8.7412587412587399</v>
      </c>
    </row>
    <row r="100" spans="1:7" ht="21.75" customHeight="1">
      <c r="A100" s="2">
        <v>15</v>
      </c>
      <c r="B100" s="84" t="s">
        <v>31</v>
      </c>
      <c r="C100" s="41" t="s">
        <v>22</v>
      </c>
      <c r="D100" s="226">
        <f>VLOOKUP(B100,[1]Dcu!$B$3:$D$511,3,0)</f>
        <v>36</v>
      </c>
      <c r="E100" s="4">
        <v>0.32</v>
      </c>
      <c r="F100" s="110">
        <f>VLOOKUP(B100,[1]Dcu!$B$3:$F$511,5,0)</f>
        <v>36363.63636363636</v>
      </c>
      <c r="G100" s="38">
        <f t="shared" ref="G100:G101" si="20">F100/(D100*26)*E100</f>
        <v>12.432012432012431</v>
      </c>
    </row>
    <row r="101" spans="1:7" ht="21.75" customHeight="1">
      <c r="A101" s="2">
        <v>16</v>
      </c>
      <c r="B101" s="84" t="s">
        <v>32</v>
      </c>
      <c r="C101" s="41" t="s">
        <v>16</v>
      </c>
      <c r="D101" s="226">
        <f>VLOOKUP(B101,[1]Dcu!$B$3:$D$511,3,0)</f>
        <v>96</v>
      </c>
      <c r="E101" s="4">
        <v>0.08</v>
      </c>
      <c r="F101" s="110">
        <f>VLOOKUP(B101,[1]Dcu!$B$3:$F$511,5,0)</f>
        <v>909090.90909090906</v>
      </c>
      <c r="G101" s="38">
        <f t="shared" si="20"/>
        <v>29.137529137529135</v>
      </c>
    </row>
    <row r="102" spans="1:7" ht="21.75" customHeight="1">
      <c r="A102" s="2">
        <v>17</v>
      </c>
      <c r="B102" s="84" t="s">
        <v>33</v>
      </c>
      <c r="C102" s="41" t="s">
        <v>16</v>
      </c>
      <c r="D102" s="226">
        <f>VLOOKUP(B102,[1]Dcu!$B$3:$D$511,3,0)</f>
        <v>96</v>
      </c>
      <c r="E102" s="4">
        <v>0.8</v>
      </c>
      <c r="F102" s="110">
        <f>VLOOKUP(B102,[1]Dcu!$B$3:$F$511,5,0)</f>
        <v>272727.27272727271</v>
      </c>
      <c r="G102" s="38">
        <f t="shared" ref="G102:G103" si="21">F102/(D102*26)*E102</f>
        <v>87.412587412587413</v>
      </c>
    </row>
    <row r="103" spans="1:7" ht="21.75" customHeight="1">
      <c r="A103" s="2">
        <v>18</v>
      </c>
      <c r="B103" s="84" t="s">
        <v>34</v>
      </c>
      <c r="C103" s="41" t="s">
        <v>16</v>
      </c>
      <c r="D103" s="226">
        <f>VLOOKUP(B103,[1]Dcu!$B$3:$D$511,3,0)</f>
        <v>96</v>
      </c>
      <c r="E103" s="4">
        <v>0.6</v>
      </c>
      <c r="F103" s="110">
        <f>VLOOKUP(B103,[1]Dcu!$B$3:$F$511,5,0)</f>
        <v>72727.272727272721</v>
      </c>
      <c r="G103" s="38">
        <f t="shared" si="21"/>
        <v>17.48251748251748</v>
      </c>
    </row>
    <row r="104" spans="1:7" ht="21.75" customHeight="1">
      <c r="A104" s="2">
        <v>20</v>
      </c>
      <c r="B104" s="84" t="s">
        <v>35</v>
      </c>
      <c r="C104" s="41" t="s">
        <v>36</v>
      </c>
      <c r="D104" s="41"/>
      <c r="E104" s="42">
        <v>0.57999999999999996</v>
      </c>
      <c r="F104" s="110">
        <f>VLOOKUP(B104,[1]Dcu!$B$3:$F$511,5,0)</f>
        <v>1670.9090909090908</v>
      </c>
      <c r="G104" s="38">
        <f>E104*F104</f>
        <v>969.12727272727261</v>
      </c>
    </row>
    <row r="105" spans="1:7" ht="21.75" customHeight="1">
      <c r="A105" s="1" t="s">
        <v>317</v>
      </c>
      <c r="B105" s="332" t="s">
        <v>346</v>
      </c>
      <c r="C105" s="332"/>
      <c r="D105" s="332"/>
      <c r="E105" s="332"/>
      <c r="F105" s="110"/>
      <c r="G105" s="298">
        <f>SUM(G106:G130)*1.05+G131</f>
        <v>30456.896491841493</v>
      </c>
    </row>
    <row r="106" spans="1:7" ht="21.75" customHeight="1">
      <c r="A106" s="2">
        <v>1</v>
      </c>
      <c r="B106" s="114" t="s">
        <v>15</v>
      </c>
      <c r="C106" s="115" t="s">
        <v>50</v>
      </c>
      <c r="D106" s="226">
        <f>VLOOKUP(B106,[1]Dcu!$B$3:$D$511,3,0)</f>
        <v>12</v>
      </c>
      <c r="E106" s="116">
        <v>0.4</v>
      </c>
      <c r="F106" s="110">
        <f>VLOOKUP(B106,[1]Dcu!$B$3:$F$511,5,0)</f>
        <v>90909.090909090897</v>
      </c>
      <c r="G106" s="38">
        <f t="shared" ref="G106:G130" si="22">F106/(D106*26)*E106</f>
        <v>116.55011655011654</v>
      </c>
    </row>
    <row r="107" spans="1:7" ht="21.75" customHeight="1">
      <c r="A107" s="2">
        <v>2</v>
      </c>
      <c r="B107" s="114" t="s">
        <v>74</v>
      </c>
      <c r="C107" s="115" t="s">
        <v>50</v>
      </c>
      <c r="D107" s="226">
        <f>VLOOKUP(B107,[1]Dcu!$B$3:$D$511,3,0)</f>
        <v>12</v>
      </c>
      <c r="E107" s="116">
        <v>0.6</v>
      </c>
      <c r="F107" s="110">
        <f>VLOOKUP(B107,[1]Dcu!$B$3:$F$511,5,0)</f>
        <v>1590909.0909090908</v>
      </c>
      <c r="G107" s="38">
        <f t="shared" si="22"/>
        <v>3059.4405594405594</v>
      </c>
    </row>
    <row r="108" spans="1:7" ht="21.75" customHeight="1">
      <c r="A108" s="2">
        <v>3</v>
      </c>
      <c r="B108" s="114" t="s">
        <v>46</v>
      </c>
      <c r="C108" s="115" t="s">
        <v>50</v>
      </c>
      <c r="D108" s="226">
        <f>VLOOKUP(B108,[1]Dcu!$B$3:$D$511,3,0)</f>
        <v>12</v>
      </c>
      <c r="E108" s="116">
        <v>0.5</v>
      </c>
      <c r="F108" s="110">
        <f>VLOOKUP(B108,[1]Dcu!$B$3:$F$511,5,0)</f>
        <v>63636.363636363632</v>
      </c>
      <c r="G108" s="38">
        <f t="shared" si="22"/>
        <v>101.98135198135198</v>
      </c>
    </row>
    <row r="109" spans="1:7" ht="21.75" customHeight="1">
      <c r="A109" s="2">
        <v>4</v>
      </c>
      <c r="B109" s="114" t="s">
        <v>39</v>
      </c>
      <c r="C109" s="115" t="s">
        <v>50</v>
      </c>
      <c r="D109" s="226">
        <f>VLOOKUP(B109,[1]Dcu!$B$3:$D$511,3,0)</f>
        <v>1</v>
      </c>
      <c r="E109" s="116">
        <v>0.4</v>
      </c>
      <c r="F109" s="110">
        <f>VLOOKUP(B109,[1]Dcu!$B$3:$F$511,5,0)</f>
        <v>2727.272727272727</v>
      </c>
      <c r="G109" s="38">
        <f t="shared" si="22"/>
        <v>41.958041958041953</v>
      </c>
    </row>
    <row r="110" spans="1:7" ht="21.75" customHeight="1">
      <c r="A110" s="2">
        <v>5</v>
      </c>
      <c r="B110" s="114" t="s">
        <v>40</v>
      </c>
      <c r="C110" s="115" t="s">
        <v>50</v>
      </c>
      <c r="D110" s="226">
        <f>VLOOKUP(B110,[1]Dcu!$B$3:$D$511,3,0)</f>
        <v>36</v>
      </c>
      <c r="E110" s="116">
        <v>0.4</v>
      </c>
      <c r="F110" s="110">
        <f>VLOOKUP(B110,[1]Dcu!$B$3:$F$511,5,0)</f>
        <v>99999.999999999985</v>
      </c>
      <c r="G110" s="38">
        <f t="shared" si="22"/>
        <v>42.735042735042732</v>
      </c>
    </row>
    <row r="111" spans="1:7" ht="21.75" customHeight="1">
      <c r="A111" s="2">
        <v>6</v>
      </c>
      <c r="B111" s="84" t="s">
        <v>60</v>
      </c>
      <c r="C111" s="115" t="s">
        <v>50</v>
      </c>
      <c r="D111" s="226">
        <f>VLOOKUP(B111,[1]Dcu!$B$3:$D$511,3,0)</f>
        <v>12</v>
      </c>
      <c r="E111" s="116">
        <v>0.4</v>
      </c>
      <c r="F111" s="110">
        <f>VLOOKUP(B111,[1]Dcu!$B$3:$F$511,5,0)</f>
        <v>4454545.4545454541</v>
      </c>
      <c r="G111" s="38">
        <f t="shared" si="22"/>
        <v>5710.9557109557109</v>
      </c>
    </row>
    <row r="112" spans="1:7" ht="21.75" customHeight="1">
      <c r="A112" s="2">
        <v>7</v>
      </c>
      <c r="B112" s="114" t="s">
        <v>19</v>
      </c>
      <c r="C112" s="115" t="s">
        <v>50</v>
      </c>
      <c r="D112" s="226">
        <f>VLOOKUP(B112,[1]Dcu!$B$3:$D$511,3,0)</f>
        <v>12</v>
      </c>
      <c r="E112" s="116">
        <v>0.4</v>
      </c>
      <c r="F112" s="110">
        <f>VLOOKUP(B112,[1]Dcu!$B$3:$F$511,5,0)</f>
        <v>77272.727272727265</v>
      </c>
      <c r="G112" s="38">
        <f t="shared" si="22"/>
        <v>99.067599067599062</v>
      </c>
    </row>
    <row r="113" spans="1:7" ht="21.75" customHeight="1">
      <c r="A113" s="2">
        <v>8</v>
      </c>
      <c r="B113" s="114" t="s">
        <v>20</v>
      </c>
      <c r="C113" s="115" t="s">
        <v>61</v>
      </c>
      <c r="D113" s="226">
        <f>VLOOKUP(B113,[1]Dcu!$B$3:$D$511,3,0)</f>
        <v>12</v>
      </c>
      <c r="E113" s="42">
        <v>0.4</v>
      </c>
      <c r="F113" s="110">
        <f>VLOOKUP(B113,[1]Dcu!$B$3:$F$511,5,0)</f>
        <v>80000</v>
      </c>
      <c r="G113" s="38">
        <f t="shared" si="22"/>
        <v>102.56410256410257</v>
      </c>
    </row>
    <row r="114" spans="1:7" ht="21.75" customHeight="1">
      <c r="A114" s="2">
        <v>10</v>
      </c>
      <c r="B114" s="84" t="s">
        <v>62</v>
      </c>
      <c r="C114" s="41" t="s">
        <v>16</v>
      </c>
      <c r="D114" s="226">
        <f>VLOOKUP(B114,[1]Dcu!$B$3:$D$511,3,0)</f>
        <v>24</v>
      </c>
      <c r="E114" s="42">
        <v>0.4</v>
      </c>
      <c r="F114" s="110">
        <f>VLOOKUP(B114,[1]Dcu!$B$3:$F$511,5,0)</f>
        <v>13636363.636363635</v>
      </c>
      <c r="G114" s="38">
        <f t="shared" si="22"/>
        <v>8741.25874125874</v>
      </c>
    </row>
    <row r="115" spans="1:7" ht="21.75" customHeight="1">
      <c r="A115" s="2">
        <v>11</v>
      </c>
      <c r="B115" s="84" t="s">
        <v>63</v>
      </c>
      <c r="C115" s="41" t="s">
        <v>16</v>
      </c>
      <c r="D115" s="226">
        <f>VLOOKUP(B115,[1]Dcu!$B$3:$D$511,3,0)</f>
        <v>24</v>
      </c>
      <c r="E115" s="42">
        <v>0.4</v>
      </c>
      <c r="F115" s="110">
        <f>VLOOKUP(B115,[1]Dcu!$B$3:$F$511,5,0)</f>
        <v>4090909.0909090904</v>
      </c>
      <c r="G115" s="38">
        <f t="shared" si="22"/>
        <v>2622.3776223776222</v>
      </c>
    </row>
    <row r="116" spans="1:7" ht="21.75" customHeight="1">
      <c r="A116" s="2">
        <v>12</v>
      </c>
      <c r="B116" s="84" t="s">
        <v>52</v>
      </c>
      <c r="C116" s="41" t="s">
        <v>16</v>
      </c>
      <c r="D116" s="226">
        <f>VLOOKUP(B116,[1]Dcu!$B$3:$D$511,3,0)</f>
        <v>12</v>
      </c>
      <c r="E116" s="42">
        <v>0.4</v>
      </c>
      <c r="F116" s="110">
        <f>VLOOKUP(B116,[1]Dcu!$B$3:$F$511,5,0)</f>
        <v>1454545.4545454544</v>
      </c>
      <c r="G116" s="38">
        <f t="shared" si="22"/>
        <v>1864.8018648018647</v>
      </c>
    </row>
    <row r="117" spans="1:7" ht="21.75" customHeight="1">
      <c r="A117" s="2">
        <v>13</v>
      </c>
      <c r="B117" s="114" t="s">
        <v>23</v>
      </c>
      <c r="C117" s="115" t="s">
        <v>50</v>
      </c>
      <c r="D117" s="226">
        <f>VLOOKUP(B117,[1]Dcu!$B$3:$D$511,3,0)</f>
        <v>36</v>
      </c>
      <c r="E117" s="42">
        <v>0.4</v>
      </c>
      <c r="F117" s="110">
        <f>VLOOKUP(B117,[1]Dcu!$B$3:$F$511,5,0)</f>
        <v>309090.90909090906</v>
      </c>
      <c r="G117" s="38">
        <f t="shared" si="22"/>
        <v>132.09013209013207</v>
      </c>
    </row>
    <row r="118" spans="1:7" ht="21.75" customHeight="1">
      <c r="A118" s="2">
        <v>14</v>
      </c>
      <c r="B118" s="114" t="s">
        <v>24</v>
      </c>
      <c r="C118" s="115" t="s">
        <v>50</v>
      </c>
      <c r="D118" s="226">
        <f>VLOOKUP(B118,[1]Dcu!$B$3:$D$511,3,0)</f>
        <v>36</v>
      </c>
      <c r="E118" s="116">
        <v>0.5</v>
      </c>
      <c r="F118" s="110">
        <f>VLOOKUP(B118,[1]Dcu!$B$3:$F$511,5,0)</f>
        <v>636363.63636363635</v>
      </c>
      <c r="G118" s="38">
        <f t="shared" si="22"/>
        <v>339.93783993783995</v>
      </c>
    </row>
    <row r="119" spans="1:7" ht="21.75" customHeight="1">
      <c r="A119" s="2">
        <v>15</v>
      </c>
      <c r="B119" s="114" t="s">
        <v>25</v>
      </c>
      <c r="C119" s="115" t="s">
        <v>50</v>
      </c>
      <c r="D119" s="226">
        <f>VLOOKUP(B119,[1]Dcu!$B$3:$D$511,3,0)</f>
        <v>36</v>
      </c>
      <c r="E119" s="116">
        <v>0.4</v>
      </c>
      <c r="F119" s="110">
        <f>VLOOKUP(B119,[1]Dcu!$B$3:$F$511,5,0)</f>
        <v>54545.454545454544</v>
      </c>
      <c r="G119" s="38">
        <f t="shared" si="22"/>
        <v>23.310023310023311</v>
      </c>
    </row>
    <row r="120" spans="1:7" ht="21.75" customHeight="1">
      <c r="A120" s="2">
        <v>16</v>
      </c>
      <c r="B120" s="3" t="s">
        <v>360</v>
      </c>
      <c r="C120" s="4" t="s">
        <v>16</v>
      </c>
      <c r="D120" s="226">
        <f>VLOOKUP(B120,[1]Dcu!$B$3:$D$511,3,0)</f>
        <v>12</v>
      </c>
      <c r="E120" s="2">
        <v>0.4</v>
      </c>
      <c r="F120" s="110">
        <f>VLOOKUP(B120,[1]Dcu!$B$3:$F$511,5,0)</f>
        <v>27272.727272727272</v>
      </c>
      <c r="G120" s="38">
        <f t="shared" si="22"/>
        <v>34.965034965034967</v>
      </c>
    </row>
    <row r="121" spans="1:7" ht="21.75" customHeight="1">
      <c r="A121" s="2">
        <v>18</v>
      </c>
      <c r="B121" s="114" t="s">
        <v>361</v>
      </c>
      <c r="C121" s="4" t="s">
        <v>49</v>
      </c>
      <c r="D121" s="226">
        <f>VLOOKUP(B121,[1]Dcu!$B$3:$D$511,3,0)</f>
        <v>0.3</v>
      </c>
      <c r="E121" s="2">
        <v>0.03</v>
      </c>
      <c r="F121" s="110">
        <f>VLOOKUP(B121,[1]Dcu!$B$3:$F$511,5,0)</f>
        <v>181818.18181818179</v>
      </c>
      <c r="G121" s="38">
        <f t="shared" si="22"/>
        <v>699.30069930069919</v>
      </c>
    </row>
    <row r="122" spans="1:7" ht="21.75" customHeight="1">
      <c r="A122" s="2">
        <v>19</v>
      </c>
      <c r="B122" s="114" t="s">
        <v>26</v>
      </c>
      <c r="C122" s="4" t="s">
        <v>49</v>
      </c>
      <c r="D122" s="226">
        <f>VLOOKUP(B122,[1]Dcu!$B$3:$D$511,3,0)</f>
        <v>0.3</v>
      </c>
      <c r="E122" s="2">
        <v>0.03</v>
      </c>
      <c r="F122" s="110">
        <f>VLOOKUP(B122,[1]Dcu!$B$3:$F$511,5,0)</f>
        <v>363636.36363636359</v>
      </c>
      <c r="G122" s="38">
        <f t="shared" si="22"/>
        <v>1398.6013986013984</v>
      </c>
    </row>
    <row r="123" spans="1:7" ht="21.75" customHeight="1">
      <c r="A123" s="2">
        <v>20</v>
      </c>
      <c r="B123" s="114" t="s">
        <v>27</v>
      </c>
      <c r="C123" s="115" t="s">
        <v>50</v>
      </c>
      <c r="D123" s="226">
        <f>VLOOKUP(B123,[1]Dcu!$B$3:$D$511,3,0)</f>
        <v>60</v>
      </c>
      <c r="E123" s="2">
        <v>5.2999999999999999E-2</v>
      </c>
      <c r="F123" s="110">
        <f>VLOOKUP(B123,[1]Dcu!$B$3:$F$511,5,0)</f>
        <v>454545.45454545453</v>
      </c>
      <c r="G123" s="38">
        <f t="shared" si="22"/>
        <v>15.442890442890441</v>
      </c>
    </row>
    <row r="124" spans="1:7" ht="21.75" customHeight="1">
      <c r="A124" s="2">
        <v>21</v>
      </c>
      <c r="B124" s="114" t="s">
        <v>28</v>
      </c>
      <c r="C124" s="115" t="s">
        <v>50</v>
      </c>
      <c r="D124" s="226">
        <f>VLOOKUP(B124,[1]Dcu!$B$3:$D$511,3,0)</f>
        <v>60</v>
      </c>
      <c r="E124" s="4">
        <v>5.2999999999999999E-2</v>
      </c>
      <c r="F124" s="110">
        <f>VLOOKUP(B124,[1]Dcu!$B$3:$F$511,5,0)</f>
        <v>227272.72727272726</v>
      </c>
      <c r="G124" s="38">
        <f t="shared" si="22"/>
        <v>7.7214452214452205</v>
      </c>
    </row>
    <row r="125" spans="1:7" ht="21.75" customHeight="1">
      <c r="A125" s="2">
        <v>22</v>
      </c>
      <c r="B125" s="114" t="s">
        <v>29</v>
      </c>
      <c r="C125" s="115" t="s">
        <v>50</v>
      </c>
      <c r="D125" s="226">
        <f>VLOOKUP(B125,[1]Dcu!$B$3:$D$511,3,0)</f>
        <v>60</v>
      </c>
      <c r="E125" s="4">
        <v>3.0000000000000001E-3</v>
      </c>
      <c r="F125" s="110">
        <f>VLOOKUP(B125,[1]Dcu!$B$3:$F$511,5,0)</f>
        <v>1454545.4545454544</v>
      </c>
      <c r="G125" s="38">
        <f t="shared" si="22"/>
        <v>2.7972027972027971</v>
      </c>
    </row>
    <row r="126" spans="1:7" ht="21.75" customHeight="1">
      <c r="A126" s="2">
        <v>23</v>
      </c>
      <c r="B126" s="114" t="s">
        <v>30</v>
      </c>
      <c r="C126" s="115" t="s">
        <v>50</v>
      </c>
      <c r="D126" s="226">
        <f>VLOOKUP(B126,[1]Dcu!$B$3:$D$511,3,0)</f>
        <v>60</v>
      </c>
      <c r="E126" s="4">
        <v>0.01</v>
      </c>
      <c r="F126" s="110">
        <f>VLOOKUP(B126,[1]Dcu!$B$3:$F$511,5,0)</f>
        <v>1363636.3636363635</v>
      </c>
      <c r="G126" s="38">
        <f t="shared" si="22"/>
        <v>8.7412587412587399</v>
      </c>
    </row>
    <row r="127" spans="1:7" ht="21.75" customHeight="1">
      <c r="A127" s="2">
        <v>25</v>
      </c>
      <c r="B127" s="114" t="s">
        <v>31</v>
      </c>
      <c r="C127" s="115" t="s">
        <v>22</v>
      </c>
      <c r="D127" s="226">
        <f>VLOOKUP(B127,[1]Dcu!$B$3:$D$511,3,0)</f>
        <v>36</v>
      </c>
      <c r="E127" s="4">
        <v>0.32</v>
      </c>
      <c r="F127" s="110">
        <f>VLOOKUP(B127,[1]Dcu!$B$3:$F$511,5,0)</f>
        <v>36363.63636363636</v>
      </c>
      <c r="G127" s="38">
        <f t="shared" si="22"/>
        <v>12.432012432012431</v>
      </c>
    </row>
    <row r="128" spans="1:7" ht="21.75" customHeight="1">
      <c r="A128" s="2">
        <v>26</v>
      </c>
      <c r="B128" s="114" t="s">
        <v>32</v>
      </c>
      <c r="C128" s="115" t="s">
        <v>50</v>
      </c>
      <c r="D128" s="226">
        <f>VLOOKUP(B128,[1]Dcu!$B$3:$D$511,3,0)</f>
        <v>96</v>
      </c>
      <c r="E128" s="4">
        <v>0.08</v>
      </c>
      <c r="F128" s="110">
        <f>VLOOKUP(B128,[1]Dcu!$B$3:$F$511,5,0)</f>
        <v>909090.90909090906</v>
      </c>
      <c r="G128" s="38">
        <f t="shared" si="22"/>
        <v>29.137529137529135</v>
      </c>
    </row>
    <row r="129" spans="1:7" ht="21.75" customHeight="1">
      <c r="A129" s="2">
        <v>27</v>
      </c>
      <c r="B129" s="114" t="s">
        <v>33</v>
      </c>
      <c r="C129" s="115" t="s">
        <v>50</v>
      </c>
      <c r="D129" s="226">
        <f>VLOOKUP(B129,[1]Dcu!$B$3:$D$511,3,0)</f>
        <v>96</v>
      </c>
      <c r="E129" s="4">
        <v>0.8</v>
      </c>
      <c r="F129" s="110">
        <f>VLOOKUP(B129,[1]Dcu!$B$3:$F$511,5,0)</f>
        <v>272727.27272727271</v>
      </c>
      <c r="G129" s="38">
        <f t="shared" si="22"/>
        <v>87.412587412587413</v>
      </c>
    </row>
    <row r="130" spans="1:7" ht="21.75" customHeight="1">
      <c r="A130" s="2">
        <v>28</v>
      </c>
      <c r="B130" s="114" t="s">
        <v>34</v>
      </c>
      <c r="C130" s="115" t="s">
        <v>50</v>
      </c>
      <c r="D130" s="226">
        <f>VLOOKUP(B130,[1]Dcu!$B$3:$D$511,3,0)</f>
        <v>96</v>
      </c>
      <c r="E130" s="4">
        <v>0.6</v>
      </c>
      <c r="F130" s="110">
        <f>VLOOKUP(B130,[1]Dcu!$B$3:$F$511,5,0)</f>
        <v>72727.272727272721</v>
      </c>
      <c r="G130" s="38">
        <f t="shared" si="22"/>
        <v>17.48251748251748</v>
      </c>
    </row>
    <row r="131" spans="1:7" ht="21.75" customHeight="1">
      <c r="A131" s="2">
        <v>29</v>
      </c>
      <c r="B131" s="114" t="s">
        <v>35</v>
      </c>
      <c r="C131" s="115" t="s">
        <v>65</v>
      </c>
      <c r="D131" s="115"/>
      <c r="E131" s="116">
        <v>2.3210000000000002</v>
      </c>
      <c r="F131" s="110">
        <f>VLOOKUP(B131,[1]Dcu!$B$3:$F$511,5,0)</f>
        <v>1670.9090909090908</v>
      </c>
      <c r="G131" s="38">
        <f>E131*F131</f>
        <v>3878.18</v>
      </c>
    </row>
    <row r="132" spans="1:7" ht="21.75" customHeight="1">
      <c r="A132" s="1" t="s">
        <v>319</v>
      </c>
      <c r="B132" s="333" t="s">
        <v>347</v>
      </c>
      <c r="C132" s="333"/>
      <c r="D132" s="333"/>
      <c r="E132" s="4"/>
      <c r="F132" s="110"/>
      <c r="G132" s="298">
        <f>SUM(G133:G161)*1.05+G162</f>
        <v>22492.491736596734</v>
      </c>
    </row>
    <row r="133" spans="1:7" ht="21.75" customHeight="1">
      <c r="A133" s="2">
        <v>1</v>
      </c>
      <c r="B133" s="84" t="s">
        <v>15</v>
      </c>
      <c r="C133" s="41" t="s">
        <v>16</v>
      </c>
      <c r="D133" s="226">
        <f>VLOOKUP(B133,[1]Dcu!$B$3:$D$511,3,0)</f>
        <v>12</v>
      </c>
      <c r="E133" s="116">
        <v>0.4</v>
      </c>
      <c r="F133" s="110">
        <f>VLOOKUP(B133,[1]Dcu!$B$3:$F$511,5,0)</f>
        <v>90909.090909090897</v>
      </c>
      <c r="G133" s="38">
        <f t="shared" ref="G133:G161" si="23">F133/(D133*26)*E133</f>
        <v>116.55011655011654</v>
      </c>
    </row>
    <row r="134" spans="1:7" ht="21.75" customHeight="1">
      <c r="A134" s="2">
        <v>2</v>
      </c>
      <c r="B134" s="84" t="s">
        <v>43</v>
      </c>
      <c r="C134" s="41" t="s">
        <v>16</v>
      </c>
      <c r="D134" s="226">
        <f>VLOOKUP(B134,[1]Dcu!$B$3:$D$511,3,0)</f>
        <v>12</v>
      </c>
      <c r="E134" s="42">
        <v>0.4</v>
      </c>
      <c r="F134" s="110">
        <f>VLOOKUP(B134,[1]Dcu!$B$3:$F$511,5,0)</f>
        <v>40000</v>
      </c>
      <c r="G134" s="38">
        <f t="shared" si="23"/>
        <v>51.282051282051285</v>
      </c>
    </row>
    <row r="135" spans="1:7" ht="21.75" customHeight="1">
      <c r="A135" s="2">
        <v>3</v>
      </c>
      <c r="B135" s="84" t="s">
        <v>55</v>
      </c>
      <c r="C135" s="41" t="s">
        <v>16</v>
      </c>
      <c r="D135" s="226">
        <f>VLOOKUP(B135,[1]Dcu!$B$3:$D$511,3,0)</f>
        <v>6</v>
      </c>
      <c r="E135" s="109">
        <v>3</v>
      </c>
      <c r="F135" s="110">
        <f>VLOOKUP(B135,[1]Dcu!$B$3:$F$511,5,0)</f>
        <v>13636.363636363636</v>
      </c>
      <c r="G135" s="38">
        <f t="shared" si="23"/>
        <v>262.23776223776224</v>
      </c>
    </row>
    <row r="136" spans="1:7" ht="21.75" customHeight="1">
      <c r="A136" s="2">
        <v>4</v>
      </c>
      <c r="B136" s="84" t="s">
        <v>56</v>
      </c>
      <c r="C136" s="41" t="s">
        <v>16</v>
      </c>
      <c r="D136" s="226">
        <f>VLOOKUP(B136,[1]Dcu!$B$3:$D$511,3,0)</f>
        <v>3</v>
      </c>
      <c r="E136" s="109">
        <v>1</v>
      </c>
      <c r="F136" s="110">
        <f>VLOOKUP(B136,[1]Dcu!$B$3:$F$511,5,0)</f>
        <v>6818.181818181818</v>
      </c>
      <c r="G136" s="38">
        <f t="shared" si="23"/>
        <v>87.412587412587413</v>
      </c>
    </row>
    <row r="137" spans="1:7" ht="21.75" customHeight="1">
      <c r="A137" s="2">
        <v>5</v>
      </c>
      <c r="B137" s="84" t="s">
        <v>46</v>
      </c>
      <c r="C137" s="41" t="s">
        <v>16</v>
      </c>
      <c r="D137" s="226">
        <f>VLOOKUP(B137,[1]Dcu!$B$3:$D$511,3,0)</f>
        <v>12</v>
      </c>
      <c r="E137" s="116">
        <v>0.5</v>
      </c>
      <c r="F137" s="110">
        <f>VLOOKUP(B137,[1]Dcu!$B$3:$F$511,5,0)</f>
        <v>63636.363636363632</v>
      </c>
      <c r="G137" s="38">
        <f t="shared" si="23"/>
        <v>101.98135198135198</v>
      </c>
    </row>
    <row r="138" spans="1:7" ht="21.75" customHeight="1">
      <c r="A138" s="2">
        <v>6</v>
      </c>
      <c r="B138" s="84" t="s">
        <v>74</v>
      </c>
      <c r="C138" s="41" t="s">
        <v>16</v>
      </c>
      <c r="D138" s="226">
        <f>VLOOKUP(B138,[1]Dcu!$B$3:$D$511,3,0)</f>
        <v>12</v>
      </c>
      <c r="E138" s="116">
        <v>0.6</v>
      </c>
      <c r="F138" s="110">
        <f>VLOOKUP(B138,[1]Dcu!$B$3:$F$511,5,0)</f>
        <v>1590909.0909090908</v>
      </c>
      <c r="G138" s="38">
        <f t="shared" si="23"/>
        <v>3059.4405594405594</v>
      </c>
    </row>
    <row r="139" spans="1:7" ht="21.75" customHeight="1">
      <c r="A139" s="2">
        <v>7</v>
      </c>
      <c r="B139" s="84" t="s">
        <v>39</v>
      </c>
      <c r="C139" s="41" t="s">
        <v>16</v>
      </c>
      <c r="D139" s="226">
        <f>VLOOKUP(B139,[1]Dcu!$B$3:$D$511,3,0)</f>
        <v>1</v>
      </c>
      <c r="E139" s="109">
        <v>0.4</v>
      </c>
      <c r="F139" s="110">
        <f>VLOOKUP(B139,[1]Dcu!$B$3:$F$511,5,0)</f>
        <v>2727.272727272727</v>
      </c>
      <c r="G139" s="38">
        <f t="shared" si="23"/>
        <v>41.958041958041953</v>
      </c>
    </row>
    <row r="140" spans="1:7" ht="21.75" customHeight="1">
      <c r="A140" s="2">
        <v>8</v>
      </c>
      <c r="B140" s="84" t="s">
        <v>53</v>
      </c>
      <c r="C140" s="41" t="s">
        <v>16</v>
      </c>
      <c r="D140" s="226">
        <f>VLOOKUP(B140,[1]Dcu!$B$3:$D$511,3,0)</f>
        <v>12</v>
      </c>
      <c r="E140" s="109">
        <v>0.4</v>
      </c>
      <c r="F140" s="110">
        <f>VLOOKUP(B140,[1]Dcu!$B$3:$F$511,5,0)</f>
        <v>81818.181818181809</v>
      </c>
      <c r="G140" s="38">
        <f t="shared" si="23"/>
        <v>104.89510489510488</v>
      </c>
    </row>
    <row r="141" spans="1:7" ht="21.75" customHeight="1">
      <c r="A141" s="2">
        <v>9</v>
      </c>
      <c r="B141" s="84" t="s">
        <v>42</v>
      </c>
      <c r="C141" s="41" t="s">
        <v>16</v>
      </c>
      <c r="D141" s="226">
        <f>VLOOKUP(B141,[1]Dcu!$B$3:$D$511,3,0)</f>
        <v>12</v>
      </c>
      <c r="E141" s="42">
        <v>0.4</v>
      </c>
      <c r="F141" s="110">
        <f>VLOOKUP(B141,[1]Dcu!$B$3:$F$511,5,0)</f>
        <v>13636.363636363636</v>
      </c>
      <c r="G141" s="38">
        <f t="shared" si="23"/>
        <v>17.482517482517483</v>
      </c>
    </row>
    <row r="142" spans="1:7" ht="21.75" customHeight="1">
      <c r="A142" s="2">
        <v>10</v>
      </c>
      <c r="B142" s="84" t="s">
        <v>62</v>
      </c>
      <c r="C142" s="41" t="s">
        <v>16</v>
      </c>
      <c r="D142" s="226">
        <f>VLOOKUP(B142,[1]Dcu!$B$3:$D$511,3,0)</f>
        <v>24</v>
      </c>
      <c r="E142" s="42">
        <v>0.4</v>
      </c>
      <c r="F142" s="110">
        <f>VLOOKUP(B142,[1]Dcu!$B$3:$F$511,5,0)</f>
        <v>13636363.636363635</v>
      </c>
      <c r="G142" s="38">
        <f t="shared" si="23"/>
        <v>8741.25874125874</v>
      </c>
    </row>
    <row r="143" spans="1:7" ht="21.75" customHeight="1">
      <c r="A143" s="2">
        <v>11</v>
      </c>
      <c r="B143" s="84" t="s">
        <v>63</v>
      </c>
      <c r="C143" s="41" t="s">
        <v>16</v>
      </c>
      <c r="D143" s="226">
        <f>VLOOKUP(B143,[1]Dcu!$B$3:$D$511,3,0)</f>
        <v>24</v>
      </c>
      <c r="E143" s="42">
        <v>0.4</v>
      </c>
      <c r="F143" s="110">
        <f>VLOOKUP(B143,[1]Dcu!$B$3:$F$511,5,0)</f>
        <v>4090909.0909090904</v>
      </c>
      <c r="G143" s="38">
        <f t="shared" si="23"/>
        <v>2622.3776223776222</v>
      </c>
    </row>
    <row r="144" spans="1:7" ht="21.75" customHeight="1">
      <c r="A144" s="2">
        <v>12</v>
      </c>
      <c r="B144" s="84" t="s">
        <v>52</v>
      </c>
      <c r="C144" s="41" t="s">
        <v>16</v>
      </c>
      <c r="D144" s="226">
        <f>VLOOKUP(B144,[1]Dcu!$B$3:$D$511,3,0)</f>
        <v>12</v>
      </c>
      <c r="E144" s="42">
        <v>0.4</v>
      </c>
      <c r="F144" s="110">
        <f>VLOOKUP(B144,[1]Dcu!$B$3:$F$511,5,0)</f>
        <v>1454545.4545454544</v>
      </c>
      <c r="G144" s="38">
        <f t="shared" si="23"/>
        <v>1864.8018648018647</v>
      </c>
    </row>
    <row r="145" spans="1:7" ht="21.75" customHeight="1">
      <c r="A145" s="2">
        <v>13</v>
      </c>
      <c r="B145" s="84" t="s">
        <v>19</v>
      </c>
      <c r="C145" s="41" t="s">
        <v>16</v>
      </c>
      <c r="D145" s="226">
        <f>VLOOKUP(B145,[1]Dcu!$B$3:$D$511,3,0)</f>
        <v>12</v>
      </c>
      <c r="E145" s="116">
        <v>0.4</v>
      </c>
      <c r="F145" s="110">
        <f>VLOOKUP(B145,[1]Dcu!$B$3:$F$511,5,0)</f>
        <v>77272.727272727265</v>
      </c>
      <c r="G145" s="38">
        <f t="shared" si="23"/>
        <v>99.067599067599062</v>
      </c>
    </row>
    <row r="146" spans="1:7" ht="21.75" customHeight="1">
      <c r="A146" s="2">
        <v>14</v>
      </c>
      <c r="B146" s="84" t="s">
        <v>37</v>
      </c>
      <c r="C146" s="41" t="s">
        <v>16</v>
      </c>
      <c r="D146" s="226">
        <f>VLOOKUP(B146,[1]Dcu!$B$3:$D$511,3,0)</f>
        <v>12</v>
      </c>
      <c r="E146" s="109">
        <v>0.4</v>
      </c>
      <c r="F146" s="110">
        <f>VLOOKUP(B146,[1]Dcu!$B$3:$F$511,5,0)</f>
        <v>136363.63636363635</v>
      </c>
      <c r="G146" s="38">
        <f t="shared" si="23"/>
        <v>174.82517482517483</v>
      </c>
    </row>
    <row r="147" spans="1:7" ht="21.75" customHeight="1">
      <c r="A147" s="2">
        <v>15</v>
      </c>
      <c r="B147" s="84" t="s">
        <v>40</v>
      </c>
      <c r="C147" s="41" t="s">
        <v>16</v>
      </c>
      <c r="D147" s="226">
        <f>VLOOKUP(B147,[1]Dcu!$B$3:$D$511,3,0)</f>
        <v>36</v>
      </c>
      <c r="E147" s="116">
        <v>0.4</v>
      </c>
      <c r="F147" s="110">
        <f>VLOOKUP(B147,[1]Dcu!$B$3:$F$511,5,0)</f>
        <v>99999.999999999985</v>
      </c>
      <c r="G147" s="38">
        <f t="shared" si="23"/>
        <v>42.735042735042732</v>
      </c>
    </row>
    <row r="148" spans="1:7" ht="21.75" customHeight="1">
      <c r="A148" s="2">
        <v>16</v>
      </c>
      <c r="B148" s="84" t="s">
        <v>23</v>
      </c>
      <c r="C148" s="41" t="s">
        <v>16</v>
      </c>
      <c r="D148" s="226">
        <f>VLOOKUP(B148,[1]Dcu!$B$3:$D$511,3,0)</f>
        <v>36</v>
      </c>
      <c r="E148" s="42">
        <v>0.4</v>
      </c>
      <c r="F148" s="110">
        <f>VLOOKUP(B148,[1]Dcu!$B$3:$F$511,5,0)</f>
        <v>309090.90909090906</v>
      </c>
      <c r="G148" s="38">
        <f t="shared" si="23"/>
        <v>132.09013209013207</v>
      </c>
    </row>
    <row r="149" spans="1:7" ht="21.75" customHeight="1">
      <c r="A149" s="2">
        <v>17</v>
      </c>
      <c r="B149" s="84" t="s">
        <v>24</v>
      </c>
      <c r="C149" s="41" t="s">
        <v>16</v>
      </c>
      <c r="D149" s="226">
        <f>VLOOKUP(B149,[1]Dcu!$B$3:$D$511,3,0)</f>
        <v>36</v>
      </c>
      <c r="E149" s="116">
        <v>0.5</v>
      </c>
      <c r="F149" s="110">
        <f>VLOOKUP(B149,[1]Dcu!$B$3:$F$511,5,0)</f>
        <v>636363.63636363635</v>
      </c>
      <c r="G149" s="38">
        <f t="shared" si="23"/>
        <v>339.93783993783995</v>
      </c>
    </row>
    <row r="150" spans="1:7" ht="21.75" customHeight="1">
      <c r="A150" s="2">
        <v>18</v>
      </c>
      <c r="B150" s="84" t="s">
        <v>25</v>
      </c>
      <c r="C150" s="41" t="s">
        <v>16</v>
      </c>
      <c r="D150" s="226">
        <f>VLOOKUP(B150,[1]Dcu!$B$3:$D$511,3,0)</f>
        <v>36</v>
      </c>
      <c r="E150" s="116">
        <v>0.4</v>
      </c>
      <c r="F150" s="110">
        <f>VLOOKUP(B150,[1]Dcu!$B$3:$F$511,5,0)</f>
        <v>54545.454545454544</v>
      </c>
      <c r="G150" s="38">
        <f t="shared" si="23"/>
        <v>23.310023310023311</v>
      </c>
    </row>
    <row r="151" spans="1:7" ht="21.75" customHeight="1">
      <c r="A151" s="2">
        <v>19</v>
      </c>
      <c r="B151" s="3" t="s">
        <v>360</v>
      </c>
      <c r="C151" s="4" t="s">
        <v>16</v>
      </c>
      <c r="D151" s="226">
        <f>VLOOKUP(B151,[1]Dcu!$B$3:$D$511,3,0)</f>
        <v>12</v>
      </c>
      <c r="E151" s="2">
        <v>0.4</v>
      </c>
      <c r="F151" s="110">
        <f>VLOOKUP(B151,[1]Dcu!$B$3:$F$511,5,0)</f>
        <v>27272.727272727272</v>
      </c>
      <c r="G151" s="38">
        <f t="shared" si="23"/>
        <v>34.965034965034967</v>
      </c>
    </row>
    <row r="152" spans="1:7" ht="21.75" customHeight="1">
      <c r="A152" s="2">
        <v>21</v>
      </c>
      <c r="B152" s="84" t="s">
        <v>361</v>
      </c>
      <c r="C152" s="4" t="s">
        <v>49</v>
      </c>
      <c r="D152" s="226">
        <f>VLOOKUP(B152,[1]Dcu!$B$3:$D$511,3,0)</f>
        <v>0.3</v>
      </c>
      <c r="E152" s="2">
        <v>0.03</v>
      </c>
      <c r="F152" s="110">
        <f>VLOOKUP(B152,[1]Dcu!$B$3:$F$511,5,0)</f>
        <v>181818.18181818179</v>
      </c>
      <c r="G152" s="38">
        <f t="shared" si="23"/>
        <v>699.30069930069919</v>
      </c>
    </row>
    <row r="153" spans="1:7" ht="21.75" customHeight="1">
      <c r="A153" s="2">
        <v>22</v>
      </c>
      <c r="B153" s="84" t="s">
        <v>26</v>
      </c>
      <c r="C153" s="4" t="s">
        <v>49</v>
      </c>
      <c r="D153" s="226">
        <f>VLOOKUP(B153,[1]Dcu!$B$3:$D$511,3,0)</f>
        <v>0.3</v>
      </c>
      <c r="E153" s="2">
        <v>0.03</v>
      </c>
      <c r="F153" s="110">
        <f>VLOOKUP(B153,[1]Dcu!$B$3:$F$511,5,0)</f>
        <v>363636.36363636359</v>
      </c>
      <c r="G153" s="38">
        <f t="shared" si="23"/>
        <v>1398.6013986013984</v>
      </c>
    </row>
    <row r="154" spans="1:7" ht="21.75" customHeight="1">
      <c r="A154" s="2">
        <v>23</v>
      </c>
      <c r="B154" s="84" t="s">
        <v>27</v>
      </c>
      <c r="C154" s="41" t="s">
        <v>16</v>
      </c>
      <c r="D154" s="226">
        <f>VLOOKUP(B154,[1]Dcu!$B$3:$D$511,3,0)</f>
        <v>60</v>
      </c>
      <c r="E154" s="2">
        <v>5.2999999999999999E-2</v>
      </c>
      <c r="F154" s="110">
        <f>VLOOKUP(B154,[1]Dcu!$B$3:$F$511,5,0)</f>
        <v>454545.45454545453</v>
      </c>
      <c r="G154" s="38">
        <f t="shared" si="23"/>
        <v>15.442890442890441</v>
      </c>
    </row>
    <row r="155" spans="1:7" ht="21.75" customHeight="1">
      <c r="A155" s="2">
        <v>24</v>
      </c>
      <c r="B155" s="84" t="s">
        <v>28</v>
      </c>
      <c r="C155" s="41" t="s">
        <v>16</v>
      </c>
      <c r="D155" s="226">
        <f>VLOOKUP(B155,[1]Dcu!$B$3:$D$511,3,0)</f>
        <v>60</v>
      </c>
      <c r="E155" s="4">
        <v>5.2999999999999999E-2</v>
      </c>
      <c r="F155" s="110">
        <f>VLOOKUP(B155,[1]Dcu!$B$3:$F$511,5,0)</f>
        <v>227272.72727272726</v>
      </c>
      <c r="G155" s="38">
        <f t="shared" si="23"/>
        <v>7.7214452214452205</v>
      </c>
    </row>
    <row r="156" spans="1:7" ht="21.75" customHeight="1">
      <c r="A156" s="2">
        <v>25</v>
      </c>
      <c r="B156" s="84" t="s">
        <v>29</v>
      </c>
      <c r="C156" s="41" t="s">
        <v>16</v>
      </c>
      <c r="D156" s="226">
        <f>VLOOKUP(B156,[1]Dcu!$B$3:$D$511,3,0)</f>
        <v>60</v>
      </c>
      <c r="E156" s="4">
        <v>3.0000000000000001E-3</v>
      </c>
      <c r="F156" s="110">
        <f>VLOOKUP(B156,[1]Dcu!$B$3:$F$511,5,0)</f>
        <v>1454545.4545454544</v>
      </c>
      <c r="G156" s="38">
        <f t="shared" si="23"/>
        <v>2.7972027972027971</v>
      </c>
    </row>
    <row r="157" spans="1:7" ht="21.75" customHeight="1">
      <c r="A157" s="2">
        <v>26</v>
      </c>
      <c r="B157" s="84" t="s">
        <v>30</v>
      </c>
      <c r="C157" s="41" t="s">
        <v>16</v>
      </c>
      <c r="D157" s="226">
        <f>VLOOKUP(B157,[1]Dcu!$B$3:$D$511,3,0)</f>
        <v>60</v>
      </c>
      <c r="E157" s="4">
        <v>0.01</v>
      </c>
      <c r="F157" s="110">
        <f>VLOOKUP(B157,[1]Dcu!$B$3:$F$511,5,0)</f>
        <v>1363636.3636363635</v>
      </c>
      <c r="G157" s="38">
        <f t="shared" si="23"/>
        <v>8.7412587412587399</v>
      </c>
    </row>
    <row r="158" spans="1:7" ht="21.75" customHeight="1">
      <c r="A158" s="2">
        <v>27</v>
      </c>
      <c r="B158" s="84" t="s">
        <v>31</v>
      </c>
      <c r="C158" s="41" t="s">
        <v>22</v>
      </c>
      <c r="D158" s="226">
        <f>VLOOKUP(B158,[1]Dcu!$B$3:$D$511,3,0)</f>
        <v>36</v>
      </c>
      <c r="E158" s="4">
        <v>0.32</v>
      </c>
      <c r="F158" s="110">
        <f>VLOOKUP(B158,[1]Dcu!$B$3:$F$511,5,0)</f>
        <v>36363.63636363636</v>
      </c>
      <c r="G158" s="38">
        <f t="shared" si="23"/>
        <v>12.432012432012431</v>
      </c>
    </row>
    <row r="159" spans="1:7" ht="21.75" customHeight="1">
      <c r="A159" s="2">
        <v>28</v>
      </c>
      <c r="B159" s="84" t="s">
        <v>32</v>
      </c>
      <c r="C159" s="41" t="s">
        <v>16</v>
      </c>
      <c r="D159" s="226">
        <f>VLOOKUP(B159,[1]Dcu!$B$3:$D$511,3,0)</f>
        <v>96</v>
      </c>
      <c r="E159" s="4">
        <v>0.08</v>
      </c>
      <c r="F159" s="110">
        <f>VLOOKUP(B159,[1]Dcu!$B$3:$F$511,5,0)</f>
        <v>909090.90909090906</v>
      </c>
      <c r="G159" s="38">
        <f t="shared" si="23"/>
        <v>29.137529137529135</v>
      </c>
    </row>
    <row r="160" spans="1:7" ht="21.75" customHeight="1">
      <c r="A160" s="2">
        <v>29</v>
      </c>
      <c r="B160" s="84" t="s">
        <v>33</v>
      </c>
      <c r="C160" s="41" t="s">
        <v>16</v>
      </c>
      <c r="D160" s="226">
        <f>VLOOKUP(B160,[1]Dcu!$B$3:$D$511,3,0)</f>
        <v>96</v>
      </c>
      <c r="E160" s="4">
        <v>0.8</v>
      </c>
      <c r="F160" s="110">
        <f>VLOOKUP(B160,[1]Dcu!$B$3:$F$511,5,0)</f>
        <v>272727.27272727271</v>
      </c>
      <c r="G160" s="38">
        <f t="shared" si="23"/>
        <v>87.412587412587413</v>
      </c>
    </row>
    <row r="161" spans="1:7" ht="21.75" customHeight="1">
      <c r="A161" s="2">
        <v>30</v>
      </c>
      <c r="B161" s="84" t="s">
        <v>34</v>
      </c>
      <c r="C161" s="41" t="s">
        <v>16</v>
      </c>
      <c r="D161" s="226">
        <f>VLOOKUP(B161,[1]Dcu!$B$3:$D$511,3,0)</f>
        <v>96</v>
      </c>
      <c r="E161" s="4">
        <v>0.6</v>
      </c>
      <c r="F161" s="110">
        <f>VLOOKUP(B161,[1]Dcu!$B$3:$F$511,5,0)</f>
        <v>72727.272727272721</v>
      </c>
      <c r="G161" s="38">
        <f t="shared" si="23"/>
        <v>17.48251748251748</v>
      </c>
    </row>
    <row r="162" spans="1:7" ht="21.75" customHeight="1">
      <c r="A162" s="2">
        <v>32</v>
      </c>
      <c r="B162" s="84" t="s">
        <v>35</v>
      </c>
      <c r="C162" s="41" t="s">
        <v>36</v>
      </c>
      <c r="D162" s="109"/>
      <c r="E162" s="109">
        <v>0.76900000000000002</v>
      </c>
      <c r="F162" s="110">
        <f>VLOOKUP(B162,[1]Dcu!$B$3:$F$511,5,0)</f>
        <v>1670.9090909090908</v>
      </c>
      <c r="G162" s="38">
        <f>F162*E162</f>
        <v>1284.9290909090907</v>
      </c>
    </row>
    <row r="163" spans="1:7" ht="21.75" customHeight="1">
      <c r="A163" s="102" t="s">
        <v>229</v>
      </c>
      <c r="B163" s="345" t="s">
        <v>242</v>
      </c>
      <c r="C163" s="346"/>
      <c r="D163" s="347"/>
      <c r="E163" s="328" t="s">
        <v>330</v>
      </c>
      <c r="F163" s="329"/>
      <c r="G163" s="248">
        <f>G132</f>
        <v>22492.491736596734</v>
      </c>
    </row>
    <row r="164" spans="1:7" ht="21.75" customHeight="1">
      <c r="A164" s="1" t="s">
        <v>413</v>
      </c>
      <c r="B164" s="245" t="s">
        <v>426</v>
      </c>
      <c r="C164" s="246"/>
      <c r="D164" s="246"/>
      <c r="E164" s="247"/>
      <c r="F164" s="110"/>
      <c r="G164" s="298">
        <f>SUM(G165:G190)*1.05+G191</f>
        <v>24810.035233100229</v>
      </c>
    </row>
    <row r="165" spans="1:7" ht="21.75" customHeight="1">
      <c r="A165" s="2">
        <v>1</v>
      </c>
      <c r="B165" s="84" t="s">
        <v>15</v>
      </c>
      <c r="C165" s="41" t="s">
        <v>16</v>
      </c>
      <c r="D165" s="226">
        <f>VLOOKUP(B165,[1]Dcu!$B$3:$D$511,3,0)</f>
        <v>12</v>
      </c>
      <c r="E165" s="116">
        <v>0.4</v>
      </c>
      <c r="F165" s="110">
        <f>VLOOKUP(B165,[1]Dcu!$B$3:$F$511,5,0)</f>
        <v>90909.090909090897</v>
      </c>
      <c r="G165" s="38">
        <f t="shared" ref="G165:G180" si="24">F165/(D165*26)*E165</f>
        <v>116.55011655011654</v>
      </c>
    </row>
    <row r="166" spans="1:7" ht="21.75" customHeight="1">
      <c r="A166" s="2">
        <v>2</v>
      </c>
      <c r="B166" s="84" t="s">
        <v>46</v>
      </c>
      <c r="C166" s="41" t="s">
        <v>16</v>
      </c>
      <c r="D166" s="226">
        <f>VLOOKUP(B166,[1]Dcu!$B$3:$D$511,3,0)</f>
        <v>12</v>
      </c>
      <c r="E166" s="116">
        <v>0.5</v>
      </c>
      <c r="F166" s="110">
        <f>VLOOKUP(B166,[1]Dcu!$B$3:$F$511,5,0)</f>
        <v>63636.363636363632</v>
      </c>
      <c r="G166" s="38">
        <f t="shared" si="24"/>
        <v>101.98135198135198</v>
      </c>
    </row>
    <row r="167" spans="1:7" ht="21.75" customHeight="1">
      <c r="A167" s="2">
        <v>3</v>
      </c>
      <c r="B167" s="84" t="s">
        <v>44</v>
      </c>
      <c r="C167" s="41" t="s">
        <v>16</v>
      </c>
      <c r="D167" s="226">
        <f>VLOOKUP(B167,[1]Dcu!$B$3:$D$511,3,0)</f>
        <v>12</v>
      </c>
      <c r="E167" s="109">
        <v>0.7</v>
      </c>
      <c r="F167" s="110">
        <f>VLOOKUP(B167,[1]Dcu!$B$3:$F$511,5,0)</f>
        <v>3181818.1818181816</v>
      </c>
      <c r="G167" s="38">
        <f t="shared" si="24"/>
        <v>7138.6946386946383</v>
      </c>
    </row>
    <row r="168" spans="1:7" ht="21.75" customHeight="1">
      <c r="A168" s="2">
        <v>4</v>
      </c>
      <c r="B168" s="84" t="s">
        <v>18</v>
      </c>
      <c r="C168" s="41" t="s">
        <v>16</v>
      </c>
      <c r="D168" s="226">
        <f>VLOOKUP(B168,[1]Dcu!$B$3:$D$511,3,0)</f>
        <v>1</v>
      </c>
      <c r="E168" s="109">
        <v>0.6</v>
      </c>
      <c r="F168" s="110">
        <f>VLOOKUP(B168,[1]Dcu!$B$3:$F$511,5,0)</f>
        <v>2727.272727272727</v>
      </c>
      <c r="G168" s="38">
        <f t="shared" si="24"/>
        <v>62.937062937062926</v>
      </c>
    </row>
    <row r="169" spans="1:7" ht="21.75" customHeight="1">
      <c r="A169" s="2">
        <v>5</v>
      </c>
      <c r="B169" s="84" t="s">
        <v>40</v>
      </c>
      <c r="C169" s="41" t="s">
        <v>16</v>
      </c>
      <c r="D169" s="226">
        <f>VLOOKUP(B169,[1]Dcu!$B$3:$D$511,3,0)</f>
        <v>36</v>
      </c>
      <c r="E169" s="116">
        <v>0.4</v>
      </c>
      <c r="F169" s="110">
        <f>VLOOKUP(B169,[1]Dcu!$B$3:$F$511,5,0)</f>
        <v>99999.999999999985</v>
      </c>
      <c r="G169" s="38">
        <f t="shared" si="24"/>
        <v>42.735042735042732</v>
      </c>
    </row>
    <row r="170" spans="1:7" ht="21.75" customHeight="1">
      <c r="A170" s="2">
        <v>6</v>
      </c>
      <c r="B170" s="84" t="s">
        <v>51</v>
      </c>
      <c r="C170" s="41" t="s">
        <v>16</v>
      </c>
      <c r="D170" s="226">
        <f>VLOOKUP(B170,[1]Dcu!$B$3:$D$511,3,0)</f>
        <v>12</v>
      </c>
      <c r="E170" s="109">
        <v>0.6</v>
      </c>
      <c r="F170" s="110">
        <f>VLOOKUP(B170,[1]Dcu!$B$3:$F$511,5,0)</f>
        <v>154545.45454545453</v>
      </c>
      <c r="G170" s="38">
        <f t="shared" si="24"/>
        <v>297.20279720279717</v>
      </c>
    </row>
    <row r="171" spans="1:7" ht="21.75" customHeight="1">
      <c r="A171" s="2">
        <v>7</v>
      </c>
      <c r="B171" s="84" t="s">
        <v>19</v>
      </c>
      <c r="C171" s="41" t="s">
        <v>16</v>
      </c>
      <c r="D171" s="226">
        <f>VLOOKUP(B171,[1]Dcu!$B$3:$D$511,3,0)</f>
        <v>12</v>
      </c>
      <c r="E171" s="116">
        <v>0.4</v>
      </c>
      <c r="F171" s="110">
        <f>VLOOKUP(B171,[1]Dcu!$B$3:$F$511,5,0)</f>
        <v>77272.727272727265</v>
      </c>
      <c r="G171" s="38">
        <f t="shared" si="24"/>
        <v>99.067599067599062</v>
      </c>
    </row>
    <row r="172" spans="1:7" ht="21.75" customHeight="1">
      <c r="A172" s="2">
        <v>8</v>
      </c>
      <c r="B172" s="84" t="s">
        <v>37</v>
      </c>
      <c r="C172" s="41" t="s">
        <v>16</v>
      </c>
      <c r="D172" s="226">
        <f>VLOOKUP(B172,[1]Dcu!$B$3:$D$511,3,0)</f>
        <v>12</v>
      </c>
      <c r="E172" s="109">
        <v>0.4</v>
      </c>
      <c r="F172" s="110">
        <f>VLOOKUP(B172,[1]Dcu!$B$3:$F$511,5,0)</f>
        <v>136363.63636363635</v>
      </c>
      <c r="G172" s="38">
        <f t="shared" si="24"/>
        <v>174.82517482517483</v>
      </c>
    </row>
    <row r="173" spans="1:7" ht="21.75" customHeight="1">
      <c r="A173" s="2">
        <v>9</v>
      </c>
      <c r="B173" s="84" t="s">
        <v>53</v>
      </c>
      <c r="C173" s="41" t="s">
        <v>16</v>
      </c>
      <c r="D173" s="226">
        <f>VLOOKUP(B173,[1]Dcu!$B$3:$D$511,3,0)</f>
        <v>12</v>
      </c>
      <c r="E173" s="109">
        <v>0.4</v>
      </c>
      <c r="F173" s="110">
        <f>VLOOKUP(B173,[1]Dcu!$B$3:$F$511,5,0)</f>
        <v>81818.181818181809</v>
      </c>
      <c r="G173" s="38">
        <f t="shared" si="24"/>
        <v>104.89510489510488</v>
      </c>
    </row>
    <row r="174" spans="1:7" ht="21.75" customHeight="1">
      <c r="A174" s="2">
        <v>10</v>
      </c>
      <c r="B174" s="84" t="s">
        <v>42</v>
      </c>
      <c r="C174" s="41" t="s">
        <v>16</v>
      </c>
      <c r="D174" s="226">
        <f>VLOOKUP(B174,[1]Dcu!$B$3:$D$511,3,0)</f>
        <v>12</v>
      </c>
      <c r="E174" s="42">
        <v>0.4</v>
      </c>
      <c r="F174" s="110">
        <f>VLOOKUP(B174,[1]Dcu!$B$3:$F$511,5,0)</f>
        <v>13636.363636363636</v>
      </c>
      <c r="G174" s="38">
        <f t="shared" si="24"/>
        <v>17.482517482517483</v>
      </c>
    </row>
    <row r="175" spans="1:7" ht="21.75" customHeight="1">
      <c r="A175" s="2">
        <v>11</v>
      </c>
      <c r="B175" s="84" t="s">
        <v>74</v>
      </c>
      <c r="C175" s="41" t="s">
        <v>16</v>
      </c>
      <c r="D175" s="226">
        <f>VLOOKUP(B175,[1]Dcu!$B$3:$D$511,3,0)</f>
        <v>12</v>
      </c>
      <c r="E175" s="42">
        <v>0.4</v>
      </c>
      <c r="F175" s="110">
        <f>VLOOKUP(B175,[1]Dcu!$B$3:$F$511,5,0)</f>
        <v>1590909.0909090908</v>
      </c>
      <c r="G175" s="38">
        <f t="shared" si="24"/>
        <v>2039.6270396270397</v>
      </c>
    </row>
    <row r="176" spans="1:7" ht="21.75" customHeight="1">
      <c r="A176" s="2">
        <v>12</v>
      </c>
      <c r="B176" s="84" t="s">
        <v>66</v>
      </c>
      <c r="C176" s="41" t="s">
        <v>16</v>
      </c>
      <c r="D176" s="226">
        <f>VLOOKUP(B176,[1]Dcu!$B$3:$D$511,3,0)</f>
        <v>6</v>
      </c>
      <c r="E176" s="109">
        <v>0.3</v>
      </c>
      <c r="F176" s="110">
        <f>VLOOKUP(B176,[1]Dcu!$B$3:$F$511,5,0)</f>
        <v>4545454.5454545449</v>
      </c>
      <c r="G176" s="38">
        <f t="shared" si="24"/>
        <v>8741.25874125874</v>
      </c>
    </row>
    <row r="177" spans="1:7" ht="21.75" customHeight="1">
      <c r="A177" s="2">
        <v>13</v>
      </c>
      <c r="B177" s="84" t="s">
        <v>23</v>
      </c>
      <c r="C177" s="41" t="s">
        <v>16</v>
      </c>
      <c r="D177" s="226">
        <f>VLOOKUP(B177,[1]Dcu!$B$3:$D$511,3,0)</f>
        <v>36</v>
      </c>
      <c r="E177" s="42">
        <v>0.4</v>
      </c>
      <c r="F177" s="110">
        <f>VLOOKUP(B177,[1]Dcu!$B$3:$F$511,5,0)</f>
        <v>309090.90909090906</v>
      </c>
      <c r="G177" s="38">
        <f t="shared" si="24"/>
        <v>132.09013209013207</v>
      </c>
    </row>
    <row r="178" spans="1:7" ht="21.75" customHeight="1">
      <c r="A178" s="2">
        <v>14</v>
      </c>
      <c r="B178" s="84" t="s">
        <v>24</v>
      </c>
      <c r="C178" s="41" t="s">
        <v>16</v>
      </c>
      <c r="D178" s="226">
        <f>VLOOKUP(B178,[1]Dcu!$B$3:$D$511,3,0)</f>
        <v>36</v>
      </c>
      <c r="E178" s="116">
        <v>0.5</v>
      </c>
      <c r="F178" s="110">
        <f>VLOOKUP(B178,[1]Dcu!$B$3:$F$511,5,0)</f>
        <v>636363.63636363635</v>
      </c>
      <c r="G178" s="38">
        <f t="shared" si="24"/>
        <v>339.93783993783995</v>
      </c>
    </row>
    <row r="179" spans="1:7" ht="21.75" customHeight="1">
      <c r="A179" s="2">
        <v>15</v>
      </c>
      <c r="B179" s="84" t="s">
        <v>54</v>
      </c>
      <c r="C179" s="41" t="s">
        <v>16</v>
      </c>
      <c r="D179" s="226">
        <f>VLOOKUP(B179,[1]Dcu!$B$3:$D$511,3,0)</f>
        <v>36</v>
      </c>
      <c r="E179" s="109">
        <v>0.6</v>
      </c>
      <c r="F179" s="110">
        <f>VLOOKUP(B179,[1]Dcu!$B$3:$F$511,5,0)</f>
        <v>99999.999999999985</v>
      </c>
      <c r="G179" s="38">
        <f t="shared" si="24"/>
        <v>64.102564102564088</v>
      </c>
    </row>
    <row r="180" spans="1:7" ht="21.75" customHeight="1">
      <c r="A180" s="2">
        <v>16</v>
      </c>
      <c r="B180" s="3" t="s">
        <v>360</v>
      </c>
      <c r="C180" s="4" t="s">
        <v>16</v>
      </c>
      <c r="D180" s="226">
        <f>VLOOKUP(B180,[1]Dcu!$B$3:$D$511,3,0)</f>
        <v>12</v>
      </c>
      <c r="E180" s="2">
        <v>0.4</v>
      </c>
      <c r="F180" s="110">
        <f>VLOOKUP(B180,[1]Dcu!$B$3:$F$511,5,0)</f>
        <v>27272.727272727272</v>
      </c>
      <c r="G180" s="38">
        <f t="shared" si="24"/>
        <v>34.965034965034967</v>
      </c>
    </row>
    <row r="181" spans="1:7" ht="21.75" customHeight="1">
      <c r="A181" s="2">
        <v>18</v>
      </c>
      <c r="B181" s="84" t="s">
        <v>361</v>
      </c>
      <c r="C181" s="4" t="s">
        <v>49</v>
      </c>
      <c r="D181" s="226">
        <f>VLOOKUP(B181,[1]Dcu!$B$3:$D$511,3,0)</f>
        <v>0.3</v>
      </c>
      <c r="E181" s="2">
        <v>0.03</v>
      </c>
      <c r="F181" s="110">
        <f>VLOOKUP(B181,[1]Dcu!$B$3:$F$511,5,0)</f>
        <v>181818.18181818179</v>
      </c>
      <c r="G181" s="38">
        <f t="shared" ref="G181:G274" si="25">F181/(D181*26)*E181</f>
        <v>699.30069930069919</v>
      </c>
    </row>
    <row r="182" spans="1:7" ht="21.75" customHeight="1">
      <c r="A182" s="2">
        <v>19</v>
      </c>
      <c r="B182" s="84" t="s">
        <v>26</v>
      </c>
      <c r="C182" s="4" t="s">
        <v>49</v>
      </c>
      <c r="D182" s="226">
        <f>VLOOKUP(B182,[1]Dcu!$B$3:$D$511,3,0)</f>
        <v>0.3</v>
      </c>
      <c r="E182" s="2">
        <v>0.03</v>
      </c>
      <c r="F182" s="110">
        <f>VLOOKUP(B182,[1]Dcu!$B$3:$F$511,5,0)</f>
        <v>363636.36363636359</v>
      </c>
      <c r="G182" s="38">
        <f t="shared" si="25"/>
        <v>1398.6013986013984</v>
      </c>
    </row>
    <row r="183" spans="1:7" ht="21.75" customHeight="1">
      <c r="A183" s="2">
        <v>20</v>
      </c>
      <c r="B183" s="84" t="s">
        <v>27</v>
      </c>
      <c r="C183" s="41" t="s">
        <v>16</v>
      </c>
      <c r="D183" s="226">
        <f>VLOOKUP(B183,[1]Dcu!$B$3:$D$511,3,0)</f>
        <v>60</v>
      </c>
      <c r="E183" s="2">
        <v>5.2999999999999999E-2</v>
      </c>
      <c r="F183" s="110">
        <f>VLOOKUP(B183,[1]Dcu!$B$3:$F$511,5,0)</f>
        <v>454545.45454545453</v>
      </c>
      <c r="G183" s="38">
        <f t="shared" si="25"/>
        <v>15.442890442890441</v>
      </c>
    </row>
    <row r="184" spans="1:7" ht="21.75" customHeight="1">
      <c r="A184" s="2">
        <v>21</v>
      </c>
      <c r="B184" s="84" t="s">
        <v>28</v>
      </c>
      <c r="C184" s="41" t="s">
        <v>16</v>
      </c>
      <c r="D184" s="226">
        <f>VLOOKUP(B184,[1]Dcu!$B$3:$D$511,3,0)</f>
        <v>60</v>
      </c>
      <c r="E184" s="4">
        <v>5.2999999999999999E-2</v>
      </c>
      <c r="F184" s="110">
        <f>VLOOKUP(B184,[1]Dcu!$B$3:$F$511,5,0)</f>
        <v>227272.72727272726</v>
      </c>
      <c r="G184" s="38">
        <f t="shared" si="25"/>
        <v>7.7214452214452205</v>
      </c>
    </row>
    <row r="185" spans="1:7" ht="21.75" customHeight="1">
      <c r="A185" s="2">
        <v>22</v>
      </c>
      <c r="B185" s="84" t="s">
        <v>29</v>
      </c>
      <c r="C185" s="41" t="s">
        <v>16</v>
      </c>
      <c r="D185" s="226">
        <f>VLOOKUP(B185,[1]Dcu!$B$3:$D$511,3,0)</f>
        <v>60</v>
      </c>
      <c r="E185" s="4">
        <v>3.0000000000000001E-3</v>
      </c>
      <c r="F185" s="110">
        <f>VLOOKUP(B185,[1]Dcu!$B$3:$F$511,5,0)</f>
        <v>1454545.4545454544</v>
      </c>
      <c r="G185" s="38">
        <f t="shared" si="25"/>
        <v>2.7972027972027971</v>
      </c>
    </row>
    <row r="186" spans="1:7" ht="21.75" customHeight="1">
      <c r="A186" s="2">
        <v>23</v>
      </c>
      <c r="B186" s="84" t="s">
        <v>30</v>
      </c>
      <c r="C186" s="41" t="s">
        <v>16</v>
      </c>
      <c r="D186" s="226">
        <f>VLOOKUP(B186,[1]Dcu!$B$3:$D$511,3,0)</f>
        <v>60</v>
      </c>
      <c r="E186" s="4">
        <v>0.01</v>
      </c>
      <c r="F186" s="110">
        <f>VLOOKUP(B186,[1]Dcu!$B$3:$F$511,5,0)</f>
        <v>1363636.3636363635</v>
      </c>
      <c r="G186" s="38">
        <f t="shared" si="25"/>
        <v>8.7412587412587399</v>
      </c>
    </row>
    <row r="187" spans="1:7" ht="21.75" customHeight="1">
      <c r="A187" s="2">
        <v>24</v>
      </c>
      <c r="B187" s="84" t="s">
        <v>31</v>
      </c>
      <c r="C187" s="41" t="s">
        <v>22</v>
      </c>
      <c r="D187" s="226">
        <f>VLOOKUP(B187,[1]Dcu!$B$3:$D$511,3,0)</f>
        <v>36</v>
      </c>
      <c r="E187" s="4">
        <v>0.32</v>
      </c>
      <c r="F187" s="110">
        <f>VLOOKUP(B187,[1]Dcu!$B$3:$F$511,5,0)</f>
        <v>36363.63636363636</v>
      </c>
      <c r="G187" s="38">
        <f t="shared" si="25"/>
        <v>12.432012432012431</v>
      </c>
    </row>
    <row r="188" spans="1:7" ht="21.75" customHeight="1">
      <c r="A188" s="2">
        <v>25</v>
      </c>
      <c r="B188" s="84" t="s">
        <v>32</v>
      </c>
      <c r="C188" s="41" t="s">
        <v>16</v>
      </c>
      <c r="D188" s="226">
        <f>VLOOKUP(B188,[1]Dcu!$B$3:$D$511,3,0)</f>
        <v>96</v>
      </c>
      <c r="E188" s="4">
        <v>0.08</v>
      </c>
      <c r="F188" s="110">
        <f>VLOOKUP(B188,[1]Dcu!$B$3:$F$511,5,0)</f>
        <v>909090.90909090906</v>
      </c>
      <c r="G188" s="38">
        <f t="shared" si="25"/>
        <v>29.137529137529135</v>
      </c>
    </row>
    <row r="189" spans="1:7" ht="21.75" customHeight="1">
      <c r="A189" s="2">
        <v>26</v>
      </c>
      <c r="B189" s="84" t="s">
        <v>33</v>
      </c>
      <c r="C189" s="41" t="s">
        <v>16</v>
      </c>
      <c r="D189" s="226">
        <f>VLOOKUP(B189,[1]Dcu!$B$3:$D$511,3,0)</f>
        <v>96</v>
      </c>
      <c r="E189" s="4">
        <v>0.8</v>
      </c>
      <c r="F189" s="110">
        <f>VLOOKUP(B189,[1]Dcu!$B$3:$F$511,5,0)</f>
        <v>272727.27272727271</v>
      </c>
      <c r="G189" s="38">
        <f t="shared" si="25"/>
        <v>87.412587412587413</v>
      </c>
    </row>
    <row r="190" spans="1:7" ht="21.75" customHeight="1">
      <c r="A190" s="2">
        <v>27</v>
      </c>
      <c r="B190" s="84" t="s">
        <v>34</v>
      </c>
      <c r="C190" s="41" t="s">
        <v>16</v>
      </c>
      <c r="D190" s="226">
        <f>VLOOKUP(B190,[1]Dcu!$B$3:$D$511,3,0)</f>
        <v>96</v>
      </c>
      <c r="E190" s="4">
        <v>0.6</v>
      </c>
      <c r="F190" s="110">
        <f>VLOOKUP(B190,[1]Dcu!$B$3:$F$511,5,0)</f>
        <v>72727.272727272721</v>
      </c>
      <c r="G190" s="38">
        <f t="shared" si="25"/>
        <v>17.48251748251748</v>
      </c>
    </row>
    <row r="191" spans="1:7" ht="21.75" customHeight="1">
      <c r="A191" s="2">
        <v>29</v>
      </c>
      <c r="B191" s="84" t="s">
        <v>35</v>
      </c>
      <c r="C191" s="41" t="s">
        <v>36</v>
      </c>
      <c r="D191" s="109"/>
      <c r="E191" s="109">
        <v>1.157</v>
      </c>
      <c r="F191" s="110">
        <f>VLOOKUP(B191,[1]Dcu!$B$3:$F$511,5,0)</f>
        <v>1670.9090909090908</v>
      </c>
      <c r="G191" s="38">
        <f>F191*E191</f>
        <v>1933.241818181818</v>
      </c>
    </row>
    <row r="192" spans="1:7" ht="21.75" customHeight="1">
      <c r="A192" s="1" t="s">
        <v>414</v>
      </c>
      <c r="B192" s="245" t="s">
        <v>427</v>
      </c>
      <c r="C192" s="41"/>
      <c r="D192" s="328" t="s">
        <v>428</v>
      </c>
      <c r="E192" s="329"/>
      <c r="F192" s="248"/>
      <c r="G192" s="248">
        <f>G164</f>
        <v>24810.035233100229</v>
      </c>
    </row>
    <row r="193" spans="1:7" ht="21.75" customHeight="1">
      <c r="A193" s="1" t="s">
        <v>227</v>
      </c>
      <c r="B193" s="334" t="s">
        <v>300</v>
      </c>
      <c r="C193" s="334"/>
      <c r="D193" s="334"/>
      <c r="E193" s="334"/>
      <c r="F193" s="110"/>
      <c r="G193" s="298">
        <f>SUM(G194:G223)*1.05+G224</f>
        <v>142616.22189976685</v>
      </c>
    </row>
    <row r="194" spans="1:7" ht="21.75" customHeight="1">
      <c r="A194" s="2">
        <v>1</v>
      </c>
      <c r="B194" s="84" t="s">
        <v>15</v>
      </c>
      <c r="C194" s="41" t="s">
        <v>16</v>
      </c>
      <c r="D194" s="226">
        <f>VLOOKUP(B194,[1]Dcu!$B$3:$D$511,3,0)</f>
        <v>12</v>
      </c>
      <c r="E194" s="116">
        <v>0.7</v>
      </c>
      <c r="F194" s="110">
        <f>VLOOKUP(B194,[1]Dcu!$B$3:$F$511,5,0)</f>
        <v>90909.090909090897</v>
      </c>
      <c r="G194" s="38">
        <f t="shared" si="25"/>
        <v>203.96270396270393</v>
      </c>
    </row>
    <row r="195" spans="1:7" ht="21.75" customHeight="1">
      <c r="A195" s="2">
        <v>2</v>
      </c>
      <c r="B195" s="84" t="s">
        <v>46</v>
      </c>
      <c r="C195" s="41" t="s">
        <v>16</v>
      </c>
      <c r="D195" s="226">
        <f>VLOOKUP(B195,[1]Dcu!$B$3:$D$511,3,0)</f>
        <v>12</v>
      </c>
      <c r="E195" s="116">
        <v>0.7</v>
      </c>
      <c r="F195" s="110">
        <f>VLOOKUP(B195,[1]Dcu!$B$3:$F$511,5,0)</f>
        <v>63636.363636363632</v>
      </c>
      <c r="G195" s="38">
        <f t="shared" si="25"/>
        <v>142.77389277389275</v>
      </c>
    </row>
    <row r="196" spans="1:7" ht="21.75" customHeight="1">
      <c r="A196" s="2">
        <v>3</v>
      </c>
      <c r="B196" s="84" t="s">
        <v>44</v>
      </c>
      <c r="C196" s="41" t="s">
        <v>16</v>
      </c>
      <c r="D196" s="226">
        <f>VLOOKUP(B196,[1]Dcu!$B$3:$D$511,3,0)</f>
        <v>12</v>
      </c>
      <c r="E196" s="116">
        <v>0.7</v>
      </c>
      <c r="F196" s="110">
        <f>VLOOKUP(B196,[1]Dcu!$B$3:$F$511,5,0)</f>
        <v>3181818.1818181816</v>
      </c>
      <c r="G196" s="38">
        <f t="shared" si="25"/>
        <v>7138.6946386946383</v>
      </c>
    </row>
    <row r="197" spans="1:7" ht="21.75" customHeight="1">
      <c r="A197" s="2">
        <v>4</v>
      </c>
      <c r="B197" s="84" t="s">
        <v>18</v>
      </c>
      <c r="C197" s="41" t="s">
        <v>16</v>
      </c>
      <c r="D197" s="226">
        <f>VLOOKUP(B197,[1]Dcu!$B$3:$D$511,3,0)</f>
        <v>1</v>
      </c>
      <c r="E197" s="116">
        <v>0.7</v>
      </c>
      <c r="F197" s="110">
        <f>VLOOKUP(B197,[1]Dcu!$B$3:$F$511,5,0)</f>
        <v>2727.272727272727</v>
      </c>
      <c r="G197" s="38">
        <f t="shared" si="25"/>
        <v>73.426573426573412</v>
      </c>
    </row>
    <row r="198" spans="1:7" ht="21.75" customHeight="1">
      <c r="A198" s="2">
        <v>5</v>
      </c>
      <c r="B198" s="84" t="s">
        <v>40</v>
      </c>
      <c r="C198" s="41" t="s">
        <v>16</v>
      </c>
      <c r="D198" s="226">
        <f>VLOOKUP(B198,[1]Dcu!$B$3:$D$511,3,0)</f>
        <v>36</v>
      </c>
      <c r="E198" s="116">
        <v>0.7</v>
      </c>
      <c r="F198" s="110">
        <f>VLOOKUP(B198,[1]Dcu!$B$3:$F$511,5,0)</f>
        <v>99999.999999999985</v>
      </c>
      <c r="G198" s="38">
        <f t="shared" si="25"/>
        <v>74.786324786324769</v>
      </c>
    </row>
    <row r="199" spans="1:7" ht="21.75" customHeight="1">
      <c r="A199" s="2">
        <v>6</v>
      </c>
      <c r="B199" s="84" t="s">
        <v>51</v>
      </c>
      <c r="C199" s="41" t="s">
        <v>16</v>
      </c>
      <c r="D199" s="226">
        <f>VLOOKUP(B199,[1]Dcu!$B$3:$D$511,3,0)</f>
        <v>12</v>
      </c>
      <c r="E199" s="116">
        <v>0.7</v>
      </c>
      <c r="F199" s="110">
        <f>VLOOKUP(B199,[1]Dcu!$B$3:$F$511,5,0)</f>
        <v>154545.45454545453</v>
      </c>
      <c r="G199" s="38">
        <f t="shared" si="25"/>
        <v>346.73659673659665</v>
      </c>
    </row>
    <row r="200" spans="1:7" ht="21.75" customHeight="1">
      <c r="A200" s="2">
        <v>7</v>
      </c>
      <c r="B200" s="84" t="s">
        <v>19</v>
      </c>
      <c r="C200" s="41" t="s">
        <v>16</v>
      </c>
      <c r="D200" s="226">
        <f>VLOOKUP(B200,[1]Dcu!$B$3:$D$511,3,0)</f>
        <v>12</v>
      </c>
      <c r="E200" s="116">
        <v>0.7</v>
      </c>
      <c r="F200" s="110">
        <f>VLOOKUP(B200,[1]Dcu!$B$3:$F$511,5,0)</f>
        <v>77272.727272727265</v>
      </c>
      <c r="G200" s="38">
        <f t="shared" si="25"/>
        <v>173.36829836829833</v>
      </c>
    </row>
    <row r="201" spans="1:7" ht="21.75" customHeight="1">
      <c r="A201" s="2">
        <v>8</v>
      </c>
      <c r="B201" s="84" t="s">
        <v>37</v>
      </c>
      <c r="C201" s="41" t="s">
        <v>16</v>
      </c>
      <c r="D201" s="226">
        <f>VLOOKUP(B201,[1]Dcu!$B$3:$D$511,3,0)</f>
        <v>12</v>
      </c>
      <c r="E201" s="116">
        <v>0.7</v>
      </c>
      <c r="F201" s="110">
        <f>VLOOKUP(B201,[1]Dcu!$B$3:$F$511,5,0)</f>
        <v>136363.63636363635</v>
      </c>
      <c r="G201" s="38">
        <f t="shared" si="25"/>
        <v>305.94405594405589</v>
      </c>
    </row>
    <row r="202" spans="1:7" ht="21.75" customHeight="1">
      <c r="A202" s="2">
        <v>9</v>
      </c>
      <c r="B202" s="84" t="s">
        <v>53</v>
      </c>
      <c r="C202" s="41" t="s">
        <v>16</v>
      </c>
      <c r="D202" s="226">
        <f>VLOOKUP(B202,[1]Dcu!$B$3:$D$511,3,0)</f>
        <v>12</v>
      </c>
      <c r="E202" s="116">
        <v>0.7</v>
      </c>
      <c r="F202" s="110">
        <f>VLOOKUP(B202,[1]Dcu!$B$3:$F$511,5,0)</f>
        <v>81818.181818181809</v>
      </c>
      <c r="G202" s="38">
        <f t="shared" si="25"/>
        <v>183.56643356643352</v>
      </c>
    </row>
    <row r="203" spans="1:7" ht="21.75" customHeight="1">
      <c r="A203" s="2">
        <v>10</v>
      </c>
      <c r="B203" s="84" t="s">
        <v>42</v>
      </c>
      <c r="C203" s="41" t="s">
        <v>16</v>
      </c>
      <c r="D203" s="226">
        <f>VLOOKUP(B203,[1]Dcu!$B$3:$D$511,3,0)</f>
        <v>12</v>
      </c>
      <c r="E203" s="116">
        <v>0.7</v>
      </c>
      <c r="F203" s="110">
        <f>VLOOKUP(B203,[1]Dcu!$B$3:$F$511,5,0)</f>
        <v>13636.363636363636</v>
      </c>
      <c r="G203" s="38">
        <f t="shared" si="25"/>
        <v>30.594405594405593</v>
      </c>
    </row>
    <row r="204" spans="1:7" ht="21.75" customHeight="1">
      <c r="A204" s="2">
        <v>11</v>
      </c>
      <c r="B204" s="84" t="s">
        <v>74</v>
      </c>
      <c r="C204" s="41" t="s">
        <v>16</v>
      </c>
      <c r="D204" s="226">
        <f>VLOOKUP(B204,[1]Dcu!$B$3:$D$511,3,0)</f>
        <v>12</v>
      </c>
      <c r="E204" s="116">
        <v>0.7</v>
      </c>
      <c r="F204" s="110">
        <f>VLOOKUP(B204,[1]Dcu!$B$3:$F$511,5,0)</f>
        <v>1590909.0909090908</v>
      </c>
      <c r="G204" s="38">
        <f t="shared" si="25"/>
        <v>3569.3473193473192</v>
      </c>
    </row>
    <row r="205" spans="1:7" ht="21.75" customHeight="1">
      <c r="A205" s="2">
        <v>12</v>
      </c>
      <c r="B205" s="84" t="s">
        <v>68</v>
      </c>
      <c r="C205" s="41" t="s">
        <v>16</v>
      </c>
      <c r="D205" s="226">
        <f>VLOOKUP(B205,[1]Dcu!$B$3:$D$511,3,0)</f>
        <v>12</v>
      </c>
      <c r="E205" s="116">
        <v>0.7</v>
      </c>
      <c r="F205" s="110">
        <f>VLOOKUP(B205,[1]Dcu!$B$3:$F$511,5,0)</f>
        <v>31818181.818181816</v>
      </c>
      <c r="G205" s="38">
        <f t="shared" si="25"/>
        <v>71386.94638694638</v>
      </c>
    </row>
    <row r="206" spans="1:7" ht="21.75" customHeight="1">
      <c r="A206" s="2">
        <v>13</v>
      </c>
      <c r="B206" s="83" t="s">
        <v>69</v>
      </c>
      <c r="C206" s="41" t="s">
        <v>16</v>
      </c>
      <c r="D206" s="226">
        <f>VLOOKUP(B206,[1]Dcu!$B$3:$D$511,3,0)</f>
        <v>2</v>
      </c>
      <c r="E206" s="109">
        <v>0.5</v>
      </c>
      <c r="F206" s="110">
        <f>VLOOKUP(B206,[1]Dcu!$B$3:$F$511,5,0)</f>
        <v>1318181.8181818181</v>
      </c>
      <c r="G206" s="38">
        <f t="shared" si="25"/>
        <v>12674.825174825175</v>
      </c>
    </row>
    <row r="207" spans="1:7" ht="21.75" customHeight="1">
      <c r="A207" s="2">
        <v>14</v>
      </c>
      <c r="B207" s="84" t="s">
        <v>62</v>
      </c>
      <c r="C207" s="41" t="s">
        <v>16</v>
      </c>
      <c r="D207" s="226">
        <f>VLOOKUP(B207,[1]Dcu!$B$3:$D$511,3,0)</f>
        <v>24</v>
      </c>
      <c r="E207" s="42">
        <v>0.7</v>
      </c>
      <c r="F207" s="110">
        <f>VLOOKUP(B207,[1]Dcu!$B$3:$F$511,5,0)</f>
        <v>13636363.636363635</v>
      </c>
      <c r="G207" s="38">
        <f t="shared" si="25"/>
        <v>15297.202797202794</v>
      </c>
    </row>
    <row r="208" spans="1:7" ht="21.75" customHeight="1">
      <c r="A208" s="2">
        <v>15</v>
      </c>
      <c r="B208" s="84" t="s">
        <v>63</v>
      </c>
      <c r="C208" s="41" t="s">
        <v>16</v>
      </c>
      <c r="D208" s="226">
        <f>VLOOKUP(B208,[1]Dcu!$B$3:$D$511,3,0)</f>
        <v>24</v>
      </c>
      <c r="E208" s="42">
        <v>0.7</v>
      </c>
      <c r="F208" s="110">
        <f>VLOOKUP(B208,[1]Dcu!$B$3:$F$511,5,0)</f>
        <v>4090909.0909090904</v>
      </c>
      <c r="G208" s="38">
        <f t="shared" si="25"/>
        <v>4589.1608391608388</v>
      </c>
    </row>
    <row r="209" spans="1:7" ht="21.75" customHeight="1">
      <c r="A209" s="2">
        <v>16</v>
      </c>
      <c r="B209" s="84" t="s">
        <v>70</v>
      </c>
      <c r="C209" s="41" t="s">
        <v>16</v>
      </c>
      <c r="D209" s="226">
        <f>VLOOKUP(B209,[1]Dcu!$B$3:$D$511,3,0)</f>
        <v>24</v>
      </c>
      <c r="E209" s="109">
        <v>0.7</v>
      </c>
      <c r="F209" s="110">
        <f>VLOOKUP(B209,[1]Dcu!$B$3:$F$511,5,0)</f>
        <v>12727272.727272727</v>
      </c>
      <c r="G209" s="38">
        <f t="shared" si="25"/>
        <v>14277.389277389277</v>
      </c>
    </row>
    <row r="210" spans="1:7" ht="21.75" customHeight="1">
      <c r="A210" s="2">
        <v>17</v>
      </c>
      <c r="B210" s="84" t="s">
        <v>23</v>
      </c>
      <c r="C210" s="41" t="s">
        <v>16</v>
      </c>
      <c r="D210" s="226">
        <f>VLOOKUP(B210,[1]Dcu!$B$3:$D$511,3,0)</f>
        <v>36</v>
      </c>
      <c r="E210" s="109">
        <v>0.7</v>
      </c>
      <c r="F210" s="110">
        <f>VLOOKUP(B210,[1]Dcu!$B$3:$F$511,5,0)</f>
        <v>309090.90909090906</v>
      </c>
      <c r="G210" s="38">
        <f t="shared" si="25"/>
        <v>231.15773115773112</v>
      </c>
    </row>
    <row r="211" spans="1:7" ht="21.75" customHeight="1">
      <c r="A211" s="2">
        <v>18</v>
      </c>
      <c r="B211" s="84" t="s">
        <v>24</v>
      </c>
      <c r="C211" s="41" t="s">
        <v>16</v>
      </c>
      <c r="D211" s="226">
        <f>VLOOKUP(B211,[1]Dcu!$B$3:$D$511,3,0)</f>
        <v>36</v>
      </c>
      <c r="E211" s="109">
        <v>0.7</v>
      </c>
      <c r="F211" s="110">
        <f>VLOOKUP(B211,[1]Dcu!$B$3:$F$511,5,0)</f>
        <v>636363.63636363635</v>
      </c>
      <c r="G211" s="38">
        <f t="shared" si="25"/>
        <v>475.91297591297592</v>
      </c>
    </row>
    <row r="212" spans="1:7" ht="21.75" customHeight="1">
      <c r="A212" s="2">
        <v>19</v>
      </c>
      <c r="B212" s="84" t="s">
        <v>54</v>
      </c>
      <c r="C212" s="41" t="s">
        <v>16</v>
      </c>
      <c r="D212" s="226">
        <f>VLOOKUP(B212,[1]Dcu!$B$3:$D$511,3,0)</f>
        <v>36</v>
      </c>
      <c r="E212" s="109">
        <v>0.7</v>
      </c>
      <c r="F212" s="110">
        <f>VLOOKUP(B212,[1]Dcu!$B$3:$F$511,5,0)</f>
        <v>99999.999999999985</v>
      </c>
      <c r="G212" s="38">
        <f t="shared" si="25"/>
        <v>74.786324786324769</v>
      </c>
    </row>
    <row r="213" spans="1:7" ht="21.75" customHeight="1">
      <c r="A213" s="2">
        <v>20</v>
      </c>
      <c r="B213" s="3" t="s">
        <v>360</v>
      </c>
      <c r="C213" s="4" t="s">
        <v>16</v>
      </c>
      <c r="D213" s="226">
        <f>VLOOKUP(B213,[1]Dcu!$B$3:$D$511,3,0)</f>
        <v>12</v>
      </c>
      <c r="E213" s="109">
        <v>0.7</v>
      </c>
      <c r="F213" s="110">
        <f>VLOOKUP(B213,[1]Dcu!$B$3:$F$511,5,0)</f>
        <v>27272.727272727272</v>
      </c>
      <c r="G213" s="38">
        <f t="shared" si="25"/>
        <v>61.188811188811187</v>
      </c>
    </row>
    <row r="214" spans="1:7" ht="21.75" customHeight="1">
      <c r="A214" s="2">
        <v>22</v>
      </c>
      <c r="B214" s="84" t="s">
        <v>361</v>
      </c>
      <c r="C214" s="4" t="s">
        <v>49</v>
      </c>
      <c r="D214" s="226">
        <f>VLOOKUP(B214,[1]Dcu!$B$3:$D$511,3,0)</f>
        <v>0.3</v>
      </c>
      <c r="E214" s="2">
        <v>0.03</v>
      </c>
      <c r="F214" s="110">
        <f>VLOOKUP(B214,[1]Dcu!$B$3:$F$511,5,0)</f>
        <v>181818.18181818179</v>
      </c>
      <c r="G214" s="38">
        <f t="shared" si="25"/>
        <v>699.30069930069919</v>
      </c>
    </row>
    <row r="215" spans="1:7" ht="21.75" customHeight="1">
      <c r="A215" s="2">
        <v>23</v>
      </c>
      <c r="B215" s="84" t="s">
        <v>26</v>
      </c>
      <c r="C215" s="4" t="s">
        <v>49</v>
      </c>
      <c r="D215" s="226">
        <f>VLOOKUP(B215,[1]Dcu!$B$3:$D$511,3,0)</f>
        <v>0.3</v>
      </c>
      <c r="E215" s="2">
        <v>0.03</v>
      </c>
      <c r="F215" s="110">
        <f>VLOOKUP(B215,[1]Dcu!$B$3:$F$511,5,0)</f>
        <v>363636.36363636359</v>
      </c>
      <c r="G215" s="38">
        <f t="shared" si="25"/>
        <v>1398.6013986013984</v>
      </c>
    </row>
    <row r="216" spans="1:7" ht="21.75" customHeight="1">
      <c r="A216" s="2">
        <v>24</v>
      </c>
      <c r="B216" s="84" t="s">
        <v>27</v>
      </c>
      <c r="C216" s="41" t="s">
        <v>16</v>
      </c>
      <c r="D216" s="226">
        <f>VLOOKUP(B216,[1]Dcu!$B$3:$D$511,3,0)</f>
        <v>60</v>
      </c>
      <c r="E216" s="2">
        <v>5.2999999999999999E-2</v>
      </c>
      <c r="F216" s="110">
        <f>VLOOKUP(B216,[1]Dcu!$B$3:$F$511,5,0)</f>
        <v>454545.45454545453</v>
      </c>
      <c r="G216" s="38">
        <f t="shared" si="25"/>
        <v>15.442890442890441</v>
      </c>
    </row>
    <row r="217" spans="1:7" ht="21.75" customHeight="1">
      <c r="A217" s="2">
        <v>25</v>
      </c>
      <c r="B217" s="84" t="s">
        <v>28</v>
      </c>
      <c r="C217" s="41" t="s">
        <v>16</v>
      </c>
      <c r="D217" s="226">
        <f>VLOOKUP(B217,[1]Dcu!$B$3:$D$511,3,0)</f>
        <v>60</v>
      </c>
      <c r="E217" s="4">
        <v>5.2999999999999999E-2</v>
      </c>
      <c r="F217" s="110">
        <f>VLOOKUP(B217,[1]Dcu!$B$3:$F$511,5,0)</f>
        <v>227272.72727272726</v>
      </c>
      <c r="G217" s="38">
        <f t="shared" si="25"/>
        <v>7.7214452214452205</v>
      </c>
    </row>
    <row r="218" spans="1:7" ht="21.75" customHeight="1">
      <c r="A218" s="2">
        <v>26</v>
      </c>
      <c r="B218" s="84" t="s">
        <v>29</v>
      </c>
      <c r="C218" s="41" t="s">
        <v>16</v>
      </c>
      <c r="D218" s="226">
        <f>VLOOKUP(B218,[1]Dcu!$B$3:$D$511,3,0)</f>
        <v>60</v>
      </c>
      <c r="E218" s="4">
        <v>8.0000000000000002E-3</v>
      </c>
      <c r="F218" s="110">
        <f>VLOOKUP(B218,[1]Dcu!$B$3:$F$511,5,0)</f>
        <v>1454545.4545454544</v>
      </c>
      <c r="G218" s="38">
        <f t="shared" si="25"/>
        <v>7.4592074592074589</v>
      </c>
    </row>
    <row r="219" spans="1:7" ht="21.75" customHeight="1">
      <c r="A219" s="2">
        <v>27</v>
      </c>
      <c r="B219" s="84" t="s">
        <v>30</v>
      </c>
      <c r="C219" s="41" t="s">
        <v>16</v>
      </c>
      <c r="D219" s="226">
        <f>VLOOKUP(B219,[1]Dcu!$B$3:$D$511,3,0)</f>
        <v>60</v>
      </c>
      <c r="E219" s="4">
        <v>0.01</v>
      </c>
      <c r="F219" s="110">
        <f>VLOOKUP(B219,[1]Dcu!$B$3:$F$511,5,0)</f>
        <v>1363636.3636363635</v>
      </c>
      <c r="G219" s="38">
        <f t="shared" si="25"/>
        <v>8.7412587412587399</v>
      </c>
    </row>
    <row r="220" spans="1:7" ht="21.75" customHeight="1">
      <c r="A220" s="2">
        <v>28</v>
      </c>
      <c r="B220" s="84" t="s">
        <v>31</v>
      </c>
      <c r="C220" s="41" t="s">
        <v>22</v>
      </c>
      <c r="D220" s="226">
        <f>VLOOKUP(B220,[1]Dcu!$B$3:$D$511,3,0)</f>
        <v>36</v>
      </c>
      <c r="E220" s="4">
        <v>0.32</v>
      </c>
      <c r="F220" s="110">
        <f>VLOOKUP(B220,[1]Dcu!$B$3:$F$511,5,0)</f>
        <v>36363.63636363636</v>
      </c>
      <c r="G220" s="38">
        <f t="shared" si="25"/>
        <v>12.432012432012431</v>
      </c>
    </row>
    <row r="221" spans="1:7" ht="21.75" customHeight="1">
      <c r="A221" s="2">
        <v>29</v>
      </c>
      <c r="B221" s="84" t="s">
        <v>32</v>
      </c>
      <c r="C221" s="41" t="s">
        <v>16</v>
      </c>
      <c r="D221" s="226">
        <f>VLOOKUP(B221,[1]Dcu!$B$3:$D$511,3,0)</f>
        <v>96</v>
      </c>
      <c r="E221" s="4">
        <v>0.08</v>
      </c>
      <c r="F221" s="110">
        <f>VLOOKUP(B221,[1]Dcu!$B$3:$F$511,5,0)</f>
        <v>909090.90909090906</v>
      </c>
      <c r="G221" s="38">
        <f t="shared" si="25"/>
        <v>29.137529137529135</v>
      </c>
    </row>
    <row r="222" spans="1:7" ht="21.75" customHeight="1">
      <c r="A222" s="2">
        <v>30</v>
      </c>
      <c r="B222" s="84" t="s">
        <v>33</v>
      </c>
      <c r="C222" s="41" t="s">
        <v>16</v>
      </c>
      <c r="D222" s="226">
        <f>VLOOKUP(B222,[1]Dcu!$B$3:$D$511,3,0)</f>
        <v>96</v>
      </c>
      <c r="E222" s="4">
        <v>0.8</v>
      </c>
      <c r="F222" s="110">
        <f>VLOOKUP(B222,[1]Dcu!$B$3:$F$511,5,0)</f>
        <v>272727.27272727271</v>
      </c>
      <c r="G222" s="38">
        <f t="shared" si="25"/>
        <v>87.412587412587413</v>
      </c>
    </row>
    <row r="223" spans="1:7" ht="21.75" customHeight="1">
      <c r="A223" s="2">
        <v>31</v>
      </c>
      <c r="B223" s="84" t="s">
        <v>34</v>
      </c>
      <c r="C223" s="41" t="s">
        <v>16</v>
      </c>
      <c r="D223" s="226">
        <f>VLOOKUP(B223,[1]Dcu!$B$3:$D$511,3,0)</f>
        <v>96</v>
      </c>
      <c r="E223" s="4">
        <v>0.6</v>
      </c>
      <c r="F223" s="110">
        <f>VLOOKUP(B223,[1]Dcu!$B$3:$F$511,5,0)</f>
        <v>72727.272727272721</v>
      </c>
      <c r="G223" s="38">
        <f t="shared" si="25"/>
        <v>17.48251748251748</v>
      </c>
    </row>
    <row r="224" spans="1:7" ht="21.75" customHeight="1">
      <c r="A224" s="2">
        <v>33</v>
      </c>
      <c r="B224" s="84" t="s">
        <v>35</v>
      </c>
      <c r="C224" s="41" t="s">
        <v>36</v>
      </c>
      <c r="D224" s="109"/>
      <c r="E224" s="109">
        <v>1.401</v>
      </c>
      <c r="F224" s="110">
        <f>VLOOKUP(B224,[1]Dcu!$B$3:$F$511,5,0)</f>
        <v>1670.9090909090908</v>
      </c>
      <c r="G224" s="38">
        <f>F224*E224</f>
        <v>2340.9436363636364</v>
      </c>
    </row>
    <row r="225" spans="1:7" ht="21.75" customHeight="1">
      <c r="A225" s="1" t="s">
        <v>243</v>
      </c>
      <c r="B225" s="334" t="s">
        <v>303</v>
      </c>
      <c r="C225" s="334"/>
      <c r="D225" s="334"/>
      <c r="E225" s="334"/>
      <c r="F225" s="110"/>
      <c r="G225" s="298">
        <f>SUM(G226:G255)*1.05+G256</f>
        <v>140032.83029137523</v>
      </c>
    </row>
    <row r="226" spans="1:7" ht="21.75" customHeight="1">
      <c r="A226" s="2">
        <v>1</v>
      </c>
      <c r="B226" s="84" t="s">
        <v>15</v>
      </c>
      <c r="C226" s="41" t="s">
        <v>16</v>
      </c>
      <c r="D226" s="226">
        <f>VLOOKUP(B226,[1]Dcu!$B$3:$D$511,3,0)</f>
        <v>12</v>
      </c>
      <c r="E226" s="116">
        <v>0.9</v>
      </c>
      <c r="F226" s="110">
        <f>VLOOKUP(B226,[1]Dcu!$B$3:$F$511,5,0)</f>
        <v>90909.090909090897</v>
      </c>
      <c r="G226" s="38">
        <f t="shared" ref="G226:G255" si="26">F226/(D226*26)*E226</f>
        <v>262.23776223776224</v>
      </c>
    </row>
    <row r="227" spans="1:7" ht="21.75" customHeight="1">
      <c r="A227" s="2">
        <v>2</v>
      </c>
      <c r="B227" s="84" t="s">
        <v>46</v>
      </c>
      <c r="C227" s="41" t="s">
        <v>16</v>
      </c>
      <c r="D227" s="226">
        <f>VLOOKUP(B227,[1]Dcu!$B$3:$D$511,3,0)</f>
        <v>12</v>
      </c>
      <c r="E227" s="116">
        <v>0.9</v>
      </c>
      <c r="F227" s="110">
        <f>VLOOKUP(B227,[1]Dcu!$B$3:$F$511,5,0)</f>
        <v>63636.363636363632</v>
      </c>
      <c r="G227" s="38">
        <f t="shared" si="26"/>
        <v>183.56643356643357</v>
      </c>
    </row>
    <row r="228" spans="1:7" ht="21.75" customHeight="1">
      <c r="A228" s="2">
        <v>3</v>
      </c>
      <c r="B228" s="84" t="s">
        <v>44</v>
      </c>
      <c r="C228" s="41" t="s">
        <v>16</v>
      </c>
      <c r="D228" s="226">
        <f>VLOOKUP(B228,[1]Dcu!$B$3:$D$511,3,0)</f>
        <v>12</v>
      </c>
      <c r="E228" s="116">
        <v>0.9</v>
      </c>
      <c r="F228" s="110">
        <f>VLOOKUP(B228,[1]Dcu!$B$3:$F$511,5,0)</f>
        <v>3181818.1818181816</v>
      </c>
      <c r="G228" s="38">
        <f t="shared" si="26"/>
        <v>9178.3216783216794</v>
      </c>
    </row>
    <row r="229" spans="1:7" ht="21.75" customHeight="1">
      <c r="A229" s="2">
        <v>4</v>
      </c>
      <c r="B229" s="84" t="s">
        <v>18</v>
      </c>
      <c r="C229" s="41" t="s">
        <v>16</v>
      </c>
      <c r="D229" s="226">
        <f>VLOOKUP(B229,[1]Dcu!$B$3:$D$511,3,0)</f>
        <v>1</v>
      </c>
      <c r="E229" s="116">
        <v>0.9</v>
      </c>
      <c r="F229" s="110">
        <f>VLOOKUP(B229,[1]Dcu!$B$3:$F$511,5,0)</f>
        <v>2727.272727272727</v>
      </c>
      <c r="G229" s="38">
        <f t="shared" si="26"/>
        <v>94.4055944055944</v>
      </c>
    </row>
    <row r="230" spans="1:7" ht="21.75" customHeight="1">
      <c r="A230" s="2">
        <v>5</v>
      </c>
      <c r="B230" s="84" t="s">
        <v>40</v>
      </c>
      <c r="C230" s="41" t="s">
        <v>16</v>
      </c>
      <c r="D230" s="226">
        <f>VLOOKUP(B230,[1]Dcu!$B$3:$D$511,3,0)</f>
        <v>36</v>
      </c>
      <c r="E230" s="116">
        <v>0.9</v>
      </c>
      <c r="F230" s="110">
        <f>VLOOKUP(B230,[1]Dcu!$B$3:$F$511,5,0)</f>
        <v>99999.999999999985</v>
      </c>
      <c r="G230" s="38">
        <f t="shared" si="26"/>
        <v>96.153846153846146</v>
      </c>
    </row>
    <row r="231" spans="1:7" ht="21.75" customHeight="1">
      <c r="A231" s="2">
        <v>6</v>
      </c>
      <c r="B231" s="84" t="s">
        <v>51</v>
      </c>
      <c r="C231" s="41" t="s">
        <v>16</v>
      </c>
      <c r="D231" s="226">
        <f>VLOOKUP(B231,[1]Dcu!$B$3:$D$511,3,0)</f>
        <v>12</v>
      </c>
      <c r="E231" s="116">
        <v>0.9</v>
      </c>
      <c r="F231" s="110">
        <f>VLOOKUP(B231,[1]Dcu!$B$3:$F$511,5,0)</f>
        <v>154545.45454545453</v>
      </c>
      <c r="G231" s="38">
        <f t="shared" si="26"/>
        <v>445.80419580419573</v>
      </c>
    </row>
    <row r="232" spans="1:7" ht="21.75" customHeight="1">
      <c r="A232" s="2">
        <v>7</v>
      </c>
      <c r="B232" s="84" t="s">
        <v>19</v>
      </c>
      <c r="C232" s="41" t="s">
        <v>16</v>
      </c>
      <c r="D232" s="226">
        <f>VLOOKUP(B232,[1]Dcu!$B$3:$D$511,3,0)</f>
        <v>12</v>
      </c>
      <c r="E232" s="116">
        <v>0.9</v>
      </c>
      <c r="F232" s="110">
        <f>VLOOKUP(B232,[1]Dcu!$B$3:$F$511,5,0)</f>
        <v>77272.727272727265</v>
      </c>
      <c r="G232" s="38">
        <f t="shared" si="26"/>
        <v>222.90209790209786</v>
      </c>
    </row>
    <row r="233" spans="1:7" ht="21.75" customHeight="1">
      <c r="A233" s="2">
        <v>8</v>
      </c>
      <c r="B233" s="84" t="s">
        <v>37</v>
      </c>
      <c r="C233" s="41" t="s">
        <v>16</v>
      </c>
      <c r="D233" s="226">
        <f>VLOOKUP(B233,[1]Dcu!$B$3:$D$511,3,0)</f>
        <v>12</v>
      </c>
      <c r="E233" s="116">
        <v>0.9</v>
      </c>
      <c r="F233" s="110">
        <f>VLOOKUP(B233,[1]Dcu!$B$3:$F$511,5,0)</f>
        <v>136363.63636363635</v>
      </c>
      <c r="G233" s="38">
        <f t="shared" si="26"/>
        <v>393.3566433566433</v>
      </c>
    </row>
    <row r="234" spans="1:7" ht="21.75" customHeight="1">
      <c r="A234" s="2">
        <v>9</v>
      </c>
      <c r="B234" s="84" t="s">
        <v>53</v>
      </c>
      <c r="C234" s="41" t="s">
        <v>16</v>
      </c>
      <c r="D234" s="226">
        <f>VLOOKUP(B234,[1]Dcu!$B$3:$D$511,3,0)</f>
        <v>12</v>
      </c>
      <c r="E234" s="116">
        <v>0.9</v>
      </c>
      <c r="F234" s="110">
        <f>VLOOKUP(B234,[1]Dcu!$B$3:$F$511,5,0)</f>
        <v>81818.181818181809</v>
      </c>
      <c r="G234" s="38">
        <f t="shared" si="26"/>
        <v>236.01398601398597</v>
      </c>
    </row>
    <row r="235" spans="1:7" ht="21.75" customHeight="1">
      <c r="A235" s="2">
        <v>10</v>
      </c>
      <c r="B235" s="84" t="s">
        <v>42</v>
      </c>
      <c r="C235" s="41" t="s">
        <v>16</v>
      </c>
      <c r="D235" s="226">
        <f>VLOOKUP(B235,[1]Dcu!$B$3:$D$511,3,0)</f>
        <v>12</v>
      </c>
      <c r="E235" s="116">
        <v>0.9</v>
      </c>
      <c r="F235" s="110">
        <f>VLOOKUP(B235,[1]Dcu!$B$3:$F$511,5,0)</f>
        <v>13636.363636363636</v>
      </c>
      <c r="G235" s="38">
        <f t="shared" si="26"/>
        <v>39.33566433566434</v>
      </c>
    </row>
    <row r="236" spans="1:7" ht="21.75" customHeight="1">
      <c r="A236" s="2">
        <v>11</v>
      </c>
      <c r="B236" s="84" t="s">
        <v>74</v>
      </c>
      <c r="C236" s="41" t="s">
        <v>16</v>
      </c>
      <c r="D236" s="226">
        <f>VLOOKUP(B236,[1]Dcu!$B$3:$D$511,3,0)</f>
        <v>12</v>
      </c>
      <c r="E236" s="116">
        <v>0.9</v>
      </c>
      <c r="F236" s="110">
        <f>VLOOKUP(B236,[1]Dcu!$B$3:$F$511,5,0)</f>
        <v>1590909.0909090908</v>
      </c>
      <c r="G236" s="38">
        <f t="shared" si="26"/>
        <v>4589.1608391608397</v>
      </c>
    </row>
    <row r="237" spans="1:7" ht="21.75" customHeight="1">
      <c r="A237" s="2">
        <v>12</v>
      </c>
      <c r="B237" s="84" t="s">
        <v>68</v>
      </c>
      <c r="C237" s="41" t="s">
        <v>16</v>
      </c>
      <c r="D237" s="226">
        <f>VLOOKUP(B237,[1]Dcu!$B$3:$D$511,3,0)</f>
        <v>12</v>
      </c>
      <c r="E237" s="109">
        <v>0.7</v>
      </c>
      <c r="F237" s="110">
        <f>VLOOKUP(B237,[1]Dcu!$B$3:$F$511,5,0)</f>
        <v>31818181.818181816</v>
      </c>
      <c r="G237" s="38">
        <f t="shared" si="26"/>
        <v>71386.94638694638</v>
      </c>
    </row>
    <row r="238" spans="1:7" ht="21.75" customHeight="1">
      <c r="A238" s="2">
        <v>13</v>
      </c>
      <c r="B238" s="83" t="s">
        <v>69</v>
      </c>
      <c r="C238" s="41" t="s">
        <v>16</v>
      </c>
      <c r="D238" s="226">
        <f>VLOOKUP(B238,[1]Dcu!$B$3:$D$511,3,0)</f>
        <v>2</v>
      </c>
      <c r="E238" s="109">
        <v>0.5</v>
      </c>
      <c r="F238" s="110">
        <f>VLOOKUP(B238,[1]Dcu!$B$3:$F$511,5,0)</f>
        <v>1318181.8181818181</v>
      </c>
      <c r="G238" s="38">
        <f t="shared" si="26"/>
        <v>12674.825174825175</v>
      </c>
    </row>
    <row r="239" spans="1:7" ht="21.75" customHeight="1">
      <c r="A239" s="2">
        <v>14</v>
      </c>
      <c r="B239" s="84" t="s">
        <v>62</v>
      </c>
      <c r="C239" s="41" t="s">
        <v>16</v>
      </c>
      <c r="D239" s="226">
        <f>VLOOKUP(B239,[1]Dcu!$B$3:$D$511,3,0)</f>
        <v>24</v>
      </c>
      <c r="E239" s="42">
        <v>0.5</v>
      </c>
      <c r="F239" s="110">
        <f>VLOOKUP(B239,[1]Dcu!$B$3:$F$511,5,0)</f>
        <v>13636363.636363635</v>
      </c>
      <c r="G239" s="38">
        <f t="shared" si="26"/>
        <v>10926.573426573425</v>
      </c>
    </row>
    <row r="240" spans="1:7" ht="21.75" customHeight="1">
      <c r="A240" s="2">
        <v>15</v>
      </c>
      <c r="B240" s="84" t="s">
        <v>63</v>
      </c>
      <c r="C240" s="41" t="s">
        <v>16</v>
      </c>
      <c r="D240" s="226">
        <f>VLOOKUP(B240,[1]Dcu!$B$3:$D$511,3,0)</f>
        <v>24</v>
      </c>
      <c r="E240" s="42">
        <v>0.5</v>
      </c>
      <c r="F240" s="110">
        <f>VLOOKUP(B240,[1]Dcu!$B$3:$F$511,5,0)</f>
        <v>4090909.0909090904</v>
      </c>
      <c r="G240" s="38">
        <f t="shared" si="26"/>
        <v>3277.9720279720277</v>
      </c>
    </row>
    <row r="241" spans="1:7" ht="21.75" customHeight="1">
      <c r="A241" s="2">
        <v>16</v>
      </c>
      <c r="B241" s="84" t="s">
        <v>70</v>
      </c>
      <c r="C241" s="41" t="s">
        <v>16</v>
      </c>
      <c r="D241" s="226">
        <f>VLOOKUP(B241,[1]Dcu!$B$3:$D$511,3,0)</f>
        <v>24</v>
      </c>
      <c r="E241" s="109">
        <v>0.7</v>
      </c>
      <c r="F241" s="110">
        <f>VLOOKUP(B241,[1]Dcu!$B$3:$F$511,5,0)</f>
        <v>12727272.727272727</v>
      </c>
      <c r="G241" s="38">
        <f t="shared" si="26"/>
        <v>14277.389277389277</v>
      </c>
    </row>
    <row r="242" spans="1:7" ht="21.75" customHeight="1">
      <c r="A242" s="2">
        <v>17</v>
      </c>
      <c r="B242" s="84" t="s">
        <v>23</v>
      </c>
      <c r="C242" s="41" t="s">
        <v>16</v>
      </c>
      <c r="D242" s="226">
        <f>VLOOKUP(B242,[1]Dcu!$B$3:$D$511,3,0)</f>
        <v>36</v>
      </c>
      <c r="E242" s="42">
        <v>0.4</v>
      </c>
      <c r="F242" s="110">
        <f>VLOOKUP(B242,[1]Dcu!$B$3:$F$511,5,0)</f>
        <v>309090.90909090906</v>
      </c>
      <c r="G242" s="38">
        <f t="shared" si="26"/>
        <v>132.09013209013207</v>
      </c>
    </row>
    <row r="243" spans="1:7" ht="21.75" customHeight="1">
      <c r="A243" s="2">
        <v>18</v>
      </c>
      <c r="B243" s="84" t="s">
        <v>24</v>
      </c>
      <c r="C243" s="41" t="s">
        <v>16</v>
      </c>
      <c r="D243" s="226">
        <f>VLOOKUP(B243,[1]Dcu!$B$3:$D$511,3,0)</f>
        <v>36</v>
      </c>
      <c r="E243" s="116">
        <v>0.5</v>
      </c>
      <c r="F243" s="110">
        <f>VLOOKUP(B243,[1]Dcu!$B$3:$F$511,5,0)</f>
        <v>636363.63636363635</v>
      </c>
      <c r="G243" s="38">
        <f t="shared" si="26"/>
        <v>339.93783993783995</v>
      </c>
    </row>
    <row r="244" spans="1:7" ht="21.75" customHeight="1">
      <c r="A244" s="2">
        <v>19</v>
      </c>
      <c r="B244" s="84" t="s">
        <v>54</v>
      </c>
      <c r="C244" s="41" t="s">
        <v>16</v>
      </c>
      <c r="D244" s="226">
        <f>VLOOKUP(B244,[1]Dcu!$B$3:$D$511,3,0)</f>
        <v>36</v>
      </c>
      <c r="E244" s="109">
        <v>0.6</v>
      </c>
      <c r="F244" s="110">
        <f>VLOOKUP(B244,[1]Dcu!$B$3:$F$511,5,0)</f>
        <v>99999.999999999985</v>
      </c>
      <c r="G244" s="38">
        <f t="shared" si="26"/>
        <v>64.102564102564088</v>
      </c>
    </row>
    <row r="245" spans="1:7" ht="21.75" customHeight="1">
      <c r="A245" s="2">
        <v>20</v>
      </c>
      <c r="B245" s="3" t="s">
        <v>360</v>
      </c>
      <c r="C245" s="4" t="s">
        <v>16</v>
      </c>
      <c r="D245" s="226">
        <f>VLOOKUP(B245,[1]Dcu!$B$3:$D$511,3,0)</f>
        <v>12</v>
      </c>
      <c r="E245" s="2">
        <v>0.4</v>
      </c>
      <c r="F245" s="110">
        <f>VLOOKUP(B245,[1]Dcu!$B$3:$F$511,5,0)</f>
        <v>27272.727272727272</v>
      </c>
      <c r="G245" s="38">
        <f t="shared" si="26"/>
        <v>34.965034965034967</v>
      </c>
    </row>
    <row r="246" spans="1:7" ht="21.75" customHeight="1">
      <c r="A246" s="2">
        <v>22</v>
      </c>
      <c r="B246" s="84" t="s">
        <v>361</v>
      </c>
      <c r="C246" s="4" t="s">
        <v>49</v>
      </c>
      <c r="D246" s="226">
        <f>VLOOKUP(B246,[1]Dcu!$B$3:$D$511,3,0)</f>
        <v>0.3</v>
      </c>
      <c r="E246" s="2">
        <v>0.03</v>
      </c>
      <c r="F246" s="110">
        <f>VLOOKUP(B246,[1]Dcu!$B$3:$F$511,5,0)</f>
        <v>181818.18181818179</v>
      </c>
      <c r="G246" s="38">
        <f t="shared" si="26"/>
        <v>699.30069930069919</v>
      </c>
    </row>
    <row r="247" spans="1:7" ht="21.75" customHeight="1">
      <c r="A247" s="2">
        <v>23</v>
      </c>
      <c r="B247" s="84" t="s">
        <v>26</v>
      </c>
      <c r="C247" s="4" t="s">
        <v>49</v>
      </c>
      <c r="D247" s="226">
        <f>VLOOKUP(B247,[1]Dcu!$B$3:$D$511,3,0)</f>
        <v>0.3</v>
      </c>
      <c r="E247" s="2">
        <v>0.03</v>
      </c>
      <c r="F247" s="110">
        <f>VLOOKUP(B247,[1]Dcu!$B$3:$F$511,5,0)</f>
        <v>363636.36363636359</v>
      </c>
      <c r="G247" s="38">
        <f t="shared" si="26"/>
        <v>1398.6013986013984</v>
      </c>
    </row>
    <row r="248" spans="1:7" ht="21.75" customHeight="1">
      <c r="A248" s="2">
        <v>24</v>
      </c>
      <c r="B248" s="84" t="s">
        <v>27</v>
      </c>
      <c r="C248" s="41" t="s">
        <v>16</v>
      </c>
      <c r="D248" s="226">
        <f>VLOOKUP(B248,[1]Dcu!$B$3:$D$511,3,0)</f>
        <v>60</v>
      </c>
      <c r="E248" s="2">
        <v>5.2999999999999999E-2</v>
      </c>
      <c r="F248" s="110">
        <f>VLOOKUP(B248,[1]Dcu!$B$3:$F$511,5,0)</f>
        <v>454545.45454545453</v>
      </c>
      <c r="G248" s="38">
        <f t="shared" si="26"/>
        <v>15.442890442890441</v>
      </c>
    </row>
    <row r="249" spans="1:7" ht="21.75" customHeight="1">
      <c r="A249" s="2">
        <v>25</v>
      </c>
      <c r="B249" s="84" t="s">
        <v>28</v>
      </c>
      <c r="C249" s="41" t="s">
        <v>16</v>
      </c>
      <c r="D249" s="226">
        <f>VLOOKUP(B249,[1]Dcu!$B$3:$D$511,3,0)</f>
        <v>60</v>
      </c>
      <c r="E249" s="4">
        <v>5.2999999999999999E-2</v>
      </c>
      <c r="F249" s="110">
        <f>VLOOKUP(B249,[1]Dcu!$B$3:$F$511,5,0)</f>
        <v>227272.72727272726</v>
      </c>
      <c r="G249" s="38">
        <f t="shared" si="26"/>
        <v>7.7214452214452205</v>
      </c>
    </row>
    <row r="250" spans="1:7" ht="21.75" customHeight="1">
      <c r="A250" s="2">
        <v>26</v>
      </c>
      <c r="B250" s="84" t="s">
        <v>29</v>
      </c>
      <c r="C250" s="41" t="s">
        <v>16</v>
      </c>
      <c r="D250" s="226">
        <f>VLOOKUP(B250,[1]Dcu!$B$3:$D$511,3,0)</f>
        <v>60</v>
      </c>
      <c r="E250" s="4">
        <v>3.0000000000000001E-3</v>
      </c>
      <c r="F250" s="110">
        <f>VLOOKUP(B250,[1]Dcu!$B$3:$F$511,5,0)</f>
        <v>1454545.4545454544</v>
      </c>
      <c r="G250" s="38">
        <f t="shared" si="26"/>
        <v>2.7972027972027971</v>
      </c>
    </row>
    <row r="251" spans="1:7" ht="21.75" customHeight="1">
      <c r="A251" s="2">
        <v>27</v>
      </c>
      <c r="B251" s="84" t="s">
        <v>30</v>
      </c>
      <c r="C251" s="41" t="s">
        <v>16</v>
      </c>
      <c r="D251" s="226">
        <f>VLOOKUP(B251,[1]Dcu!$B$3:$D$511,3,0)</f>
        <v>60</v>
      </c>
      <c r="E251" s="4">
        <v>0.01</v>
      </c>
      <c r="F251" s="110">
        <f>VLOOKUP(B251,[1]Dcu!$B$3:$F$511,5,0)</f>
        <v>1363636.3636363635</v>
      </c>
      <c r="G251" s="38">
        <f t="shared" si="26"/>
        <v>8.7412587412587399</v>
      </c>
    </row>
    <row r="252" spans="1:7" ht="21.75" customHeight="1">
      <c r="A252" s="2">
        <v>28</v>
      </c>
      <c r="B252" s="84" t="s">
        <v>31</v>
      </c>
      <c r="C252" s="41" t="s">
        <v>22</v>
      </c>
      <c r="D252" s="226">
        <f>VLOOKUP(B252,[1]Dcu!$B$3:$D$511,3,0)</f>
        <v>36</v>
      </c>
      <c r="E252" s="4">
        <v>0.32</v>
      </c>
      <c r="F252" s="110">
        <f>VLOOKUP(B252,[1]Dcu!$B$3:$F$511,5,0)</f>
        <v>36363.63636363636</v>
      </c>
      <c r="G252" s="38">
        <f t="shared" si="26"/>
        <v>12.432012432012431</v>
      </c>
    </row>
    <row r="253" spans="1:7" ht="21.75" customHeight="1">
      <c r="A253" s="2">
        <v>29</v>
      </c>
      <c r="B253" s="84" t="s">
        <v>32</v>
      </c>
      <c r="C253" s="41" t="s">
        <v>16</v>
      </c>
      <c r="D253" s="226">
        <f>VLOOKUP(B253,[1]Dcu!$B$3:$D$511,3,0)</f>
        <v>96</v>
      </c>
      <c r="E253" s="4">
        <v>0.08</v>
      </c>
      <c r="F253" s="110">
        <f>VLOOKUP(B253,[1]Dcu!$B$3:$F$511,5,0)</f>
        <v>909090.90909090906</v>
      </c>
      <c r="G253" s="38">
        <f t="shared" si="26"/>
        <v>29.137529137529135</v>
      </c>
    </row>
    <row r="254" spans="1:7" ht="21.75" customHeight="1">
      <c r="A254" s="2">
        <v>30</v>
      </c>
      <c r="B254" s="84" t="s">
        <v>33</v>
      </c>
      <c r="C254" s="41" t="s">
        <v>16</v>
      </c>
      <c r="D254" s="226">
        <f>VLOOKUP(B254,[1]Dcu!$B$3:$D$511,3,0)</f>
        <v>96</v>
      </c>
      <c r="E254" s="4">
        <v>0.8</v>
      </c>
      <c r="F254" s="110">
        <f>VLOOKUP(B254,[1]Dcu!$B$3:$F$511,5,0)</f>
        <v>272727.27272727271</v>
      </c>
      <c r="G254" s="38">
        <f t="shared" si="26"/>
        <v>87.412587412587413</v>
      </c>
    </row>
    <row r="255" spans="1:7" ht="21.75" customHeight="1">
      <c r="A255" s="2">
        <v>31</v>
      </c>
      <c r="B255" s="84" t="s">
        <v>34</v>
      </c>
      <c r="C255" s="41" t="s">
        <v>16</v>
      </c>
      <c r="D255" s="226">
        <f>VLOOKUP(B255,[1]Dcu!$B$3:$D$511,3,0)</f>
        <v>96</v>
      </c>
      <c r="E255" s="4">
        <v>0.6</v>
      </c>
      <c r="F255" s="110">
        <f>VLOOKUP(B255,[1]Dcu!$B$3:$F$511,5,0)</f>
        <v>72727.272727272721</v>
      </c>
      <c r="G255" s="38">
        <f t="shared" si="26"/>
        <v>17.48251748251748</v>
      </c>
    </row>
    <row r="256" spans="1:7" ht="21.75" customHeight="1">
      <c r="A256" s="2">
        <v>33</v>
      </c>
      <c r="B256" s="84" t="s">
        <v>35</v>
      </c>
      <c r="C256" s="41" t="s">
        <v>36</v>
      </c>
      <c r="D256" s="109"/>
      <c r="E256" s="109">
        <v>1.401</v>
      </c>
      <c r="F256" s="110">
        <f>VLOOKUP(B256,[1]Dcu!$B$3:$F$511,5,0)</f>
        <v>1670.9090909090908</v>
      </c>
      <c r="G256" s="38">
        <f>F256*E256</f>
        <v>2340.9436363636364</v>
      </c>
    </row>
    <row r="257" spans="1:7" ht="21.75" customHeight="1">
      <c r="A257" s="1" t="s">
        <v>415</v>
      </c>
      <c r="B257" s="332" t="s">
        <v>390</v>
      </c>
      <c r="C257" s="332"/>
      <c r="D257" s="332"/>
      <c r="E257" s="332"/>
      <c r="F257" s="110"/>
      <c r="G257" s="298">
        <f>SUM(G258:G285)*1.05+G286</f>
        <v>42325.124324009339</v>
      </c>
    </row>
    <row r="258" spans="1:7" ht="21.75" customHeight="1">
      <c r="A258" s="2">
        <v>1</v>
      </c>
      <c r="B258" s="83" t="s">
        <v>272</v>
      </c>
      <c r="C258" s="41" t="s">
        <v>16</v>
      </c>
      <c r="D258" s="226">
        <f>VLOOKUP(B258,[1]Dcu!$B$3:$D$511,3,0)</f>
        <v>6</v>
      </c>
      <c r="E258" s="116">
        <v>0.4</v>
      </c>
      <c r="F258" s="110">
        <f>VLOOKUP(B258,[1]Dcu!$B$3:$F$511,5,0)</f>
        <v>272727.27272727271</v>
      </c>
      <c r="G258" s="38">
        <f t="shared" si="25"/>
        <v>699.30069930069931</v>
      </c>
    </row>
    <row r="259" spans="1:7" ht="21.75" customHeight="1">
      <c r="A259" s="2">
        <v>2</v>
      </c>
      <c r="B259" s="84" t="s">
        <v>46</v>
      </c>
      <c r="C259" s="41" t="s">
        <v>16</v>
      </c>
      <c r="D259" s="226">
        <f>VLOOKUP(B259,[1]Dcu!$B$3:$D$511,3,0)</f>
        <v>12</v>
      </c>
      <c r="E259" s="116">
        <v>0.5</v>
      </c>
      <c r="F259" s="110">
        <f>VLOOKUP(B259,[1]Dcu!$B$3:$F$511,5,0)</f>
        <v>63636.363636363632</v>
      </c>
      <c r="G259" s="38">
        <f t="shared" si="25"/>
        <v>101.98135198135198</v>
      </c>
    </row>
    <row r="260" spans="1:7" ht="21.75" customHeight="1">
      <c r="A260" s="2">
        <v>3</v>
      </c>
      <c r="B260" s="84" t="s">
        <v>44</v>
      </c>
      <c r="C260" s="41" t="s">
        <v>16</v>
      </c>
      <c r="D260" s="226">
        <f>VLOOKUP(B260,[1]Dcu!$B$3:$D$511,3,0)</f>
        <v>12</v>
      </c>
      <c r="E260" s="109">
        <v>0.7</v>
      </c>
      <c r="F260" s="110">
        <f>VLOOKUP(B260,[1]Dcu!$B$3:$F$511,5,0)</f>
        <v>3181818.1818181816</v>
      </c>
      <c r="G260" s="38">
        <f t="shared" si="25"/>
        <v>7138.6946386946383</v>
      </c>
    </row>
    <row r="261" spans="1:7" ht="21.75" customHeight="1">
      <c r="A261" s="2">
        <v>4</v>
      </c>
      <c r="B261" s="84" t="s">
        <v>18</v>
      </c>
      <c r="C261" s="41" t="s">
        <v>16</v>
      </c>
      <c r="D261" s="226">
        <f>VLOOKUP(B261,[1]Dcu!$B$3:$D$511,3,0)</f>
        <v>1</v>
      </c>
      <c r="E261" s="109">
        <v>0.6</v>
      </c>
      <c r="F261" s="110">
        <f>VLOOKUP(B261,[1]Dcu!$B$3:$F$511,5,0)</f>
        <v>2727.272727272727</v>
      </c>
      <c r="G261" s="38">
        <f t="shared" si="25"/>
        <v>62.937062937062926</v>
      </c>
    </row>
    <row r="262" spans="1:7" ht="21.75" customHeight="1">
      <c r="A262" s="2">
        <v>5</v>
      </c>
      <c r="B262" s="84" t="s">
        <v>40</v>
      </c>
      <c r="C262" s="41" t="s">
        <v>16</v>
      </c>
      <c r="D262" s="226">
        <f>VLOOKUP(B262,[1]Dcu!$B$3:$D$511,3,0)</f>
        <v>36</v>
      </c>
      <c r="E262" s="116">
        <v>0.4</v>
      </c>
      <c r="F262" s="110">
        <f>VLOOKUP(B262,[1]Dcu!$B$3:$F$511,5,0)</f>
        <v>99999.999999999985</v>
      </c>
      <c r="G262" s="38">
        <f t="shared" si="25"/>
        <v>42.735042735042732</v>
      </c>
    </row>
    <row r="263" spans="1:7" ht="21.75" customHeight="1">
      <c r="A263" s="2">
        <v>6</v>
      </c>
      <c r="B263" s="84" t="s">
        <v>51</v>
      </c>
      <c r="C263" s="41" t="s">
        <v>16</v>
      </c>
      <c r="D263" s="226">
        <f>VLOOKUP(B263,[1]Dcu!$B$3:$D$511,3,0)</f>
        <v>12</v>
      </c>
      <c r="E263" s="109">
        <v>0.6</v>
      </c>
      <c r="F263" s="110">
        <f>VLOOKUP(B263,[1]Dcu!$B$3:$F$511,5,0)</f>
        <v>154545.45454545453</v>
      </c>
      <c r="G263" s="38">
        <f t="shared" si="25"/>
        <v>297.20279720279717</v>
      </c>
    </row>
    <row r="264" spans="1:7" ht="21.75" customHeight="1">
      <c r="A264" s="2">
        <v>7</v>
      </c>
      <c r="B264" s="84" t="s">
        <v>19</v>
      </c>
      <c r="C264" s="41" t="s">
        <v>16</v>
      </c>
      <c r="D264" s="226">
        <f>VLOOKUP(B264,[1]Dcu!$B$3:$D$511,3,0)</f>
        <v>12</v>
      </c>
      <c r="E264" s="116">
        <v>0.4</v>
      </c>
      <c r="F264" s="110">
        <f>VLOOKUP(B264,[1]Dcu!$B$3:$F$511,5,0)</f>
        <v>77272.727272727265</v>
      </c>
      <c r="G264" s="38">
        <f t="shared" si="25"/>
        <v>99.067599067599062</v>
      </c>
    </row>
    <row r="265" spans="1:7" ht="21.75" customHeight="1">
      <c r="A265" s="2">
        <v>8</v>
      </c>
      <c r="B265" s="84" t="s">
        <v>37</v>
      </c>
      <c r="C265" s="41" t="s">
        <v>16</v>
      </c>
      <c r="D265" s="226">
        <f>VLOOKUP(B265,[1]Dcu!$B$3:$D$511,3,0)</f>
        <v>12</v>
      </c>
      <c r="E265" s="109">
        <v>0.4</v>
      </c>
      <c r="F265" s="110">
        <f>VLOOKUP(B265,[1]Dcu!$B$3:$F$511,5,0)</f>
        <v>136363.63636363635</v>
      </c>
      <c r="G265" s="38">
        <f t="shared" si="25"/>
        <v>174.82517482517483</v>
      </c>
    </row>
    <row r="266" spans="1:7" ht="21.75" customHeight="1">
      <c r="A266" s="2">
        <v>9</v>
      </c>
      <c r="B266" s="84" t="s">
        <v>53</v>
      </c>
      <c r="C266" s="41" t="s">
        <v>16</v>
      </c>
      <c r="D266" s="226">
        <f>VLOOKUP(B266,[1]Dcu!$B$3:$D$511,3,0)</f>
        <v>12</v>
      </c>
      <c r="E266" s="109">
        <v>0.4</v>
      </c>
      <c r="F266" s="110">
        <f>VLOOKUP(B266,[1]Dcu!$B$3:$F$511,5,0)</f>
        <v>81818.181818181809</v>
      </c>
      <c r="G266" s="38">
        <f t="shared" si="25"/>
        <v>104.89510489510488</v>
      </c>
    </row>
    <row r="267" spans="1:7" ht="21.75" customHeight="1">
      <c r="A267" s="2">
        <v>10</v>
      </c>
      <c r="B267" s="84" t="s">
        <v>42</v>
      </c>
      <c r="C267" s="41" t="s">
        <v>16</v>
      </c>
      <c r="D267" s="226">
        <f>VLOOKUP(B267,[1]Dcu!$B$3:$D$511,3,0)</f>
        <v>12</v>
      </c>
      <c r="E267" s="42">
        <v>0.4</v>
      </c>
      <c r="F267" s="110">
        <f>VLOOKUP(B267,[1]Dcu!$B$3:$F$511,5,0)</f>
        <v>13636.363636363636</v>
      </c>
      <c r="G267" s="38">
        <f t="shared" si="25"/>
        <v>17.482517482517483</v>
      </c>
    </row>
    <row r="268" spans="1:7" ht="21.75" customHeight="1">
      <c r="A268" s="2">
        <v>11</v>
      </c>
      <c r="B268" s="84" t="s">
        <v>74</v>
      </c>
      <c r="C268" s="41" t="s">
        <v>16</v>
      </c>
      <c r="D268" s="226">
        <f>VLOOKUP(B268,[1]Dcu!$B$3:$D$511,3,0)</f>
        <v>12</v>
      </c>
      <c r="E268" s="42">
        <v>0.4</v>
      </c>
      <c r="F268" s="110">
        <f>VLOOKUP(B268,[1]Dcu!$B$3:$F$511,5,0)</f>
        <v>1590909.0909090908</v>
      </c>
      <c r="G268" s="38">
        <f t="shared" si="25"/>
        <v>2039.6270396270397</v>
      </c>
    </row>
    <row r="269" spans="1:7" ht="21.75" customHeight="1">
      <c r="A269" s="2">
        <v>12</v>
      </c>
      <c r="B269" s="84" t="s">
        <v>62</v>
      </c>
      <c r="C269" s="41" t="s">
        <v>16</v>
      </c>
      <c r="D269" s="226">
        <f>VLOOKUP(B269,[1]Dcu!$B$3:$D$511,3,0)</f>
        <v>24</v>
      </c>
      <c r="E269" s="42">
        <v>0.4</v>
      </c>
      <c r="F269" s="110">
        <f>VLOOKUP(B269,[1]Dcu!$B$3:$F$511,5,0)</f>
        <v>13636363.636363635</v>
      </c>
      <c r="G269" s="38">
        <f t="shared" si="25"/>
        <v>8741.25874125874</v>
      </c>
    </row>
    <row r="270" spans="1:7" ht="21.75" customHeight="1">
      <c r="A270" s="2">
        <v>13</v>
      </c>
      <c r="B270" s="84" t="s">
        <v>63</v>
      </c>
      <c r="C270" s="41" t="s">
        <v>16</v>
      </c>
      <c r="D270" s="226">
        <f>VLOOKUP(B270,[1]Dcu!$B$3:$D$511,3,0)</f>
        <v>24</v>
      </c>
      <c r="E270" s="42">
        <v>0.4</v>
      </c>
      <c r="F270" s="110">
        <f>VLOOKUP(B270,[1]Dcu!$B$3:$F$511,5,0)</f>
        <v>4090909.0909090904</v>
      </c>
      <c r="G270" s="38">
        <f t="shared" si="25"/>
        <v>2622.3776223776222</v>
      </c>
    </row>
    <row r="271" spans="1:7" ht="21.75" customHeight="1">
      <c r="A271" s="2">
        <v>14</v>
      </c>
      <c r="B271" s="84" t="s">
        <v>67</v>
      </c>
      <c r="C271" s="41" t="s">
        <v>16</v>
      </c>
      <c r="D271" s="226">
        <f>VLOOKUP(B271,[1]Dcu!$B$3:$D$511,3,0)</f>
        <v>24</v>
      </c>
      <c r="E271" s="109">
        <v>0.5</v>
      </c>
      <c r="F271" s="110">
        <f>VLOOKUP(B271,[1]Dcu!$B$3:$F$511,5,0)</f>
        <v>17272727.27272727</v>
      </c>
      <c r="G271" s="38">
        <f t="shared" si="25"/>
        <v>13840.326340326337</v>
      </c>
    </row>
    <row r="272" spans="1:7" ht="21.75" customHeight="1">
      <c r="A272" s="2">
        <v>15</v>
      </c>
      <c r="B272" s="84" t="s">
        <v>23</v>
      </c>
      <c r="C272" s="41" t="s">
        <v>16</v>
      </c>
      <c r="D272" s="226">
        <f>VLOOKUP(B272,[1]Dcu!$B$3:$D$511,3,0)</f>
        <v>36</v>
      </c>
      <c r="E272" s="42">
        <v>0.4</v>
      </c>
      <c r="F272" s="110">
        <f>VLOOKUP(B272,[1]Dcu!$B$3:$F$511,5,0)</f>
        <v>309090.90909090906</v>
      </c>
      <c r="G272" s="38">
        <f t="shared" si="25"/>
        <v>132.09013209013207</v>
      </c>
    </row>
    <row r="273" spans="1:7" ht="21.75" customHeight="1">
      <c r="A273" s="2">
        <v>16</v>
      </c>
      <c r="B273" s="84" t="s">
        <v>24</v>
      </c>
      <c r="C273" s="41" t="s">
        <v>16</v>
      </c>
      <c r="D273" s="226">
        <f>VLOOKUP(B273,[1]Dcu!$B$3:$D$511,3,0)</f>
        <v>36</v>
      </c>
      <c r="E273" s="116">
        <v>0.5</v>
      </c>
      <c r="F273" s="110">
        <f>VLOOKUP(B273,[1]Dcu!$B$3:$F$511,5,0)</f>
        <v>636363.63636363635</v>
      </c>
      <c r="G273" s="38">
        <f t="shared" si="25"/>
        <v>339.93783993783995</v>
      </c>
    </row>
    <row r="274" spans="1:7" ht="21.75" customHeight="1">
      <c r="A274" s="2">
        <v>17</v>
      </c>
      <c r="B274" s="84" t="s">
        <v>54</v>
      </c>
      <c r="C274" s="41" t="s">
        <v>16</v>
      </c>
      <c r="D274" s="226">
        <f>VLOOKUP(B274,[1]Dcu!$B$3:$D$511,3,0)</f>
        <v>36</v>
      </c>
      <c r="E274" s="109">
        <v>0.6</v>
      </c>
      <c r="F274" s="110">
        <f>VLOOKUP(B274,[1]Dcu!$B$3:$F$511,5,0)</f>
        <v>99999.999999999985</v>
      </c>
      <c r="G274" s="38">
        <f t="shared" si="25"/>
        <v>64.102564102564088</v>
      </c>
    </row>
    <row r="275" spans="1:7" ht="21.75" customHeight="1">
      <c r="A275" s="2">
        <v>18</v>
      </c>
      <c r="B275" s="3" t="s">
        <v>360</v>
      </c>
      <c r="C275" s="4" t="s">
        <v>16</v>
      </c>
      <c r="D275" s="226">
        <f>VLOOKUP(B275,[1]Dcu!$B$3:$D$511,3,0)</f>
        <v>12</v>
      </c>
      <c r="E275" s="2">
        <v>0.4</v>
      </c>
      <c r="F275" s="110">
        <f>VLOOKUP(B275,[1]Dcu!$B$3:$F$511,5,0)</f>
        <v>27272.727272727272</v>
      </c>
      <c r="G275" s="38">
        <f t="shared" ref="G275:G400" si="27">F275/(D275*26)*E275</f>
        <v>34.965034965034967</v>
      </c>
    </row>
    <row r="276" spans="1:7" ht="21.75" customHeight="1">
      <c r="A276" s="2">
        <v>20</v>
      </c>
      <c r="B276" s="84" t="s">
        <v>361</v>
      </c>
      <c r="C276" s="4" t="s">
        <v>49</v>
      </c>
      <c r="D276" s="226">
        <f>VLOOKUP(B276,[1]Dcu!$B$3:$D$511,3,0)</f>
        <v>0.3</v>
      </c>
      <c r="E276" s="2">
        <v>0.03</v>
      </c>
      <c r="F276" s="110">
        <f>VLOOKUP(B276,[1]Dcu!$B$3:$F$511,5,0)</f>
        <v>181818.18181818179</v>
      </c>
      <c r="G276" s="38">
        <f t="shared" si="27"/>
        <v>699.30069930069919</v>
      </c>
    </row>
    <row r="277" spans="1:7" ht="21.75" customHeight="1">
      <c r="A277" s="2">
        <v>21</v>
      </c>
      <c r="B277" s="84" t="s">
        <v>26</v>
      </c>
      <c r="C277" s="4" t="s">
        <v>49</v>
      </c>
      <c r="D277" s="226">
        <f>VLOOKUP(B277,[1]Dcu!$B$3:$D$511,3,0)</f>
        <v>0.3</v>
      </c>
      <c r="E277" s="2">
        <v>0.03</v>
      </c>
      <c r="F277" s="110">
        <f>VLOOKUP(B277,[1]Dcu!$B$3:$F$511,5,0)</f>
        <v>363636.36363636359</v>
      </c>
      <c r="G277" s="38">
        <f t="shared" si="27"/>
        <v>1398.6013986013984</v>
      </c>
    </row>
    <row r="278" spans="1:7" ht="21.75" customHeight="1">
      <c r="A278" s="2">
        <v>22</v>
      </c>
      <c r="B278" s="84" t="s">
        <v>27</v>
      </c>
      <c r="C278" s="41" t="s">
        <v>16</v>
      </c>
      <c r="D278" s="226">
        <f>VLOOKUP(B278,[1]Dcu!$B$3:$D$511,3,0)</f>
        <v>60</v>
      </c>
      <c r="E278" s="2">
        <v>5.2999999999999999E-2</v>
      </c>
      <c r="F278" s="110">
        <f>VLOOKUP(B278,[1]Dcu!$B$3:$F$511,5,0)</f>
        <v>454545.45454545453</v>
      </c>
      <c r="G278" s="38">
        <f t="shared" si="27"/>
        <v>15.442890442890441</v>
      </c>
    </row>
    <row r="279" spans="1:7" ht="21.75" customHeight="1">
      <c r="A279" s="2">
        <v>23</v>
      </c>
      <c r="B279" s="84" t="s">
        <v>28</v>
      </c>
      <c r="C279" s="41" t="s">
        <v>16</v>
      </c>
      <c r="D279" s="226">
        <f>VLOOKUP(B279,[1]Dcu!$B$3:$D$511,3,0)</f>
        <v>60</v>
      </c>
      <c r="E279" s="4">
        <v>5.2999999999999999E-2</v>
      </c>
      <c r="F279" s="110">
        <f>VLOOKUP(B279,[1]Dcu!$B$3:$F$511,5,0)</f>
        <v>227272.72727272726</v>
      </c>
      <c r="G279" s="38">
        <f t="shared" si="27"/>
        <v>7.7214452214452205</v>
      </c>
    </row>
    <row r="280" spans="1:7" ht="21.75" customHeight="1">
      <c r="A280" s="2">
        <v>24</v>
      </c>
      <c r="B280" s="84" t="s">
        <v>29</v>
      </c>
      <c r="C280" s="41" t="s">
        <v>16</v>
      </c>
      <c r="D280" s="226">
        <f>VLOOKUP(B280,[1]Dcu!$B$3:$D$511,3,0)</f>
        <v>60</v>
      </c>
      <c r="E280" s="4">
        <v>3.0000000000000001E-3</v>
      </c>
      <c r="F280" s="110">
        <f>VLOOKUP(B280,[1]Dcu!$B$3:$F$511,5,0)</f>
        <v>1454545.4545454544</v>
      </c>
      <c r="G280" s="38">
        <f t="shared" si="27"/>
        <v>2.7972027972027971</v>
      </c>
    </row>
    <row r="281" spans="1:7" ht="21.75" customHeight="1">
      <c r="A281" s="2">
        <v>25</v>
      </c>
      <c r="B281" s="84" t="s">
        <v>30</v>
      </c>
      <c r="C281" s="41" t="s">
        <v>16</v>
      </c>
      <c r="D281" s="226">
        <f>VLOOKUP(B281,[1]Dcu!$B$3:$D$511,3,0)</f>
        <v>60</v>
      </c>
      <c r="E281" s="4">
        <v>0.01</v>
      </c>
      <c r="F281" s="110">
        <f>VLOOKUP(B281,[1]Dcu!$B$3:$F$511,5,0)</f>
        <v>1363636.3636363635</v>
      </c>
      <c r="G281" s="38">
        <f t="shared" si="27"/>
        <v>8.7412587412587399</v>
      </c>
    </row>
    <row r="282" spans="1:7" ht="21.75" customHeight="1">
      <c r="A282" s="2">
        <v>26</v>
      </c>
      <c r="B282" s="84" t="s">
        <v>31</v>
      </c>
      <c r="C282" s="41" t="s">
        <v>22</v>
      </c>
      <c r="D282" s="226">
        <f>VLOOKUP(B282,[1]Dcu!$B$3:$D$511,3,0)</f>
        <v>36</v>
      </c>
      <c r="E282" s="4">
        <v>0.32</v>
      </c>
      <c r="F282" s="110">
        <f>VLOOKUP(B282,[1]Dcu!$B$3:$F$511,5,0)</f>
        <v>36363.63636363636</v>
      </c>
      <c r="G282" s="38">
        <f t="shared" si="27"/>
        <v>12.432012432012431</v>
      </c>
    </row>
    <row r="283" spans="1:7" ht="21.75" customHeight="1">
      <c r="A283" s="2">
        <v>27</v>
      </c>
      <c r="B283" s="84" t="s">
        <v>32</v>
      </c>
      <c r="C283" s="41" t="s">
        <v>16</v>
      </c>
      <c r="D283" s="226">
        <f>VLOOKUP(B283,[1]Dcu!$B$3:$D$511,3,0)</f>
        <v>96</v>
      </c>
      <c r="E283" s="4">
        <v>0.08</v>
      </c>
      <c r="F283" s="110">
        <f>VLOOKUP(B283,[1]Dcu!$B$3:$F$511,5,0)</f>
        <v>909090.90909090906</v>
      </c>
      <c r="G283" s="38">
        <f t="shared" si="27"/>
        <v>29.137529137529135</v>
      </c>
    </row>
    <row r="284" spans="1:7" ht="21.75" customHeight="1">
      <c r="A284" s="2">
        <v>28</v>
      </c>
      <c r="B284" s="84" t="s">
        <v>33</v>
      </c>
      <c r="C284" s="41" t="s">
        <v>16</v>
      </c>
      <c r="D284" s="226">
        <f>VLOOKUP(B284,[1]Dcu!$B$3:$D$511,3,0)</f>
        <v>96</v>
      </c>
      <c r="E284" s="4">
        <v>0.8</v>
      </c>
      <c r="F284" s="110">
        <f>VLOOKUP(B284,[1]Dcu!$B$3:$F$511,5,0)</f>
        <v>272727.27272727271</v>
      </c>
      <c r="G284" s="38">
        <f t="shared" si="27"/>
        <v>87.412587412587413</v>
      </c>
    </row>
    <row r="285" spans="1:7" ht="21.75" customHeight="1">
      <c r="A285" s="2">
        <v>29</v>
      </c>
      <c r="B285" s="84" t="s">
        <v>34</v>
      </c>
      <c r="C285" s="41" t="s">
        <v>16</v>
      </c>
      <c r="D285" s="226">
        <f>VLOOKUP(B285,[1]Dcu!$B$3:$D$511,3,0)</f>
        <v>96</v>
      </c>
      <c r="E285" s="4">
        <v>0.6</v>
      </c>
      <c r="F285" s="110">
        <f>VLOOKUP(B285,[1]Dcu!$B$3:$F$511,5,0)</f>
        <v>72727.272727272721</v>
      </c>
      <c r="G285" s="38">
        <f t="shared" si="27"/>
        <v>17.48251748251748</v>
      </c>
    </row>
    <row r="286" spans="1:7" ht="21.75" customHeight="1">
      <c r="A286" s="2">
        <v>31</v>
      </c>
      <c r="B286" s="84" t="s">
        <v>35</v>
      </c>
      <c r="C286" s="41" t="s">
        <v>36</v>
      </c>
      <c r="D286" s="109"/>
      <c r="E286" s="109">
        <v>0.92800000000000005</v>
      </c>
      <c r="F286" s="110">
        <f>VLOOKUP(B286,[1]Dcu!$B$3:$F$511,5,0)</f>
        <v>1670.9090909090908</v>
      </c>
      <c r="G286" s="38">
        <f>F286*E286</f>
        <v>1550.6036363636363</v>
      </c>
    </row>
    <row r="287" spans="1:7" ht="21.75" customHeight="1">
      <c r="A287" s="129" t="s">
        <v>416</v>
      </c>
      <c r="B287" s="112" t="s">
        <v>397</v>
      </c>
      <c r="C287" s="41"/>
      <c r="D287" s="323" t="s">
        <v>429</v>
      </c>
      <c r="E287" s="324"/>
      <c r="F287" s="110"/>
      <c r="G287" s="110">
        <f>G257</f>
        <v>42325.124324009339</v>
      </c>
    </row>
    <row r="288" spans="1:7" ht="21.75" customHeight="1">
      <c r="A288" s="129" t="s">
        <v>417</v>
      </c>
      <c r="B288" s="112" t="s">
        <v>398</v>
      </c>
      <c r="C288" s="41"/>
      <c r="D288" s="323" t="s">
        <v>429</v>
      </c>
      <c r="E288" s="324"/>
      <c r="F288" s="110"/>
      <c r="G288" s="110">
        <f>G287</f>
        <v>42325.124324009339</v>
      </c>
    </row>
    <row r="289" spans="1:7" ht="21.75" customHeight="1">
      <c r="A289" s="129" t="s">
        <v>418</v>
      </c>
      <c r="B289" s="112" t="s">
        <v>405</v>
      </c>
      <c r="C289" s="41"/>
      <c r="D289" s="323" t="s">
        <v>429</v>
      </c>
      <c r="E289" s="324"/>
      <c r="F289" s="110"/>
      <c r="G289" s="110">
        <f t="shared" ref="G289:G296" si="28">G287</f>
        <v>42325.124324009339</v>
      </c>
    </row>
    <row r="290" spans="1:7" ht="21.75" customHeight="1">
      <c r="A290" s="129" t="s">
        <v>419</v>
      </c>
      <c r="B290" s="112" t="s">
        <v>399</v>
      </c>
      <c r="C290" s="41"/>
      <c r="D290" s="323" t="s">
        <v>429</v>
      </c>
      <c r="E290" s="324"/>
      <c r="F290" s="110"/>
      <c r="G290" s="110">
        <f t="shared" si="28"/>
        <v>42325.124324009339</v>
      </c>
    </row>
    <row r="291" spans="1:7" ht="21.75" customHeight="1">
      <c r="A291" s="129" t="s">
        <v>420</v>
      </c>
      <c r="B291" s="112" t="s">
        <v>401</v>
      </c>
      <c r="C291" s="41"/>
      <c r="D291" s="323" t="s">
        <v>429</v>
      </c>
      <c r="E291" s="324"/>
      <c r="F291" s="110"/>
      <c r="G291" s="110">
        <f t="shared" si="28"/>
        <v>42325.124324009339</v>
      </c>
    </row>
    <row r="292" spans="1:7" ht="21.75" customHeight="1">
      <c r="A292" s="129" t="s">
        <v>421</v>
      </c>
      <c r="B292" s="112" t="s">
        <v>400</v>
      </c>
      <c r="C292" s="41"/>
      <c r="D292" s="323" t="s">
        <v>429</v>
      </c>
      <c r="E292" s="324"/>
      <c r="F292" s="110"/>
      <c r="G292" s="110">
        <f t="shared" si="28"/>
        <v>42325.124324009339</v>
      </c>
    </row>
    <row r="293" spans="1:7" ht="21.75" customHeight="1">
      <c r="A293" s="129" t="s">
        <v>422</v>
      </c>
      <c r="B293" s="112" t="s">
        <v>402</v>
      </c>
      <c r="C293" s="41"/>
      <c r="D293" s="323" t="s">
        <v>429</v>
      </c>
      <c r="E293" s="324"/>
      <c r="F293" s="110"/>
      <c r="G293" s="110">
        <f t="shared" si="28"/>
        <v>42325.124324009339</v>
      </c>
    </row>
    <row r="294" spans="1:7" ht="21.75" customHeight="1">
      <c r="A294" s="129" t="s">
        <v>423</v>
      </c>
      <c r="B294" s="112" t="s">
        <v>403</v>
      </c>
      <c r="C294" s="41"/>
      <c r="D294" s="323" t="s">
        <v>429</v>
      </c>
      <c r="E294" s="324"/>
      <c r="F294" s="110"/>
      <c r="G294" s="110">
        <f t="shared" si="28"/>
        <v>42325.124324009339</v>
      </c>
    </row>
    <row r="295" spans="1:7" ht="21.75" customHeight="1">
      <c r="A295" s="129" t="s">
        <v>424</v>
      </c>
      <c r="B295" s="112" t="s">
        <v>404</v>
      </c>
      <c r="C295" s="41"/>
      <c r="D295" s="323" t="s">
        <v>429</v>
      </c>
      <c r="E295" s="324"/>
      <c r="F295" s="110"/>
      <c r="G295" s="110">
        <f t="shared" si="28"/>
        <v>42325.124324009339</v>
      </c>
    </row>
    <row r="296" spans="1:7" ht="21.75" customHeight="1">
      <c r="A296" s="129" t="s">
        <v>425</v>
      </c>
      <c r="B296" s="112" t="s">
        <v>406</v>
      </c>
      <c r="C296" s="41"/>
      <c r="D296" s="323" t="s">
        <v>429</v>
      </c>
      <c r="E296" s="324"/>
      <c r="F296" s="110"/>
      <c r="G296" s="110">
        <f t="shared" si="28"/>
        <v>42325.124324009339</v>
      </c>
    </row>
    <row r="297" spans="1:7" ht="21.75" customHeight="1">
      <c r="A297" s="129" t="s">
        <v>432</v>
      </c>
      <c r="B297" s="112" t="s">
        <v>406</v>
      </c>
      <c r="C297" s="41"/>
      <c r="D297" s="323" t="s">
        <v>429</v>
      </c>
      <c r="E297" s="324"/>
      <c r="F297" s="110"/>
      <c r="G297" s="110">
        <f>G296</f>
        <v>42325.124324009339</v>
      </c>
    </row>
    <row r="298" spans="1:7" ht="21.75" customHeight="1">
      <c r="A298" s="102" t="s">
        <v>217</v>
      </c>
      <c r="B298" s="331" t="s">
        <v>306</v>
      </c>
      <c r="C298" s="331"/>
      <c r="D298" s="331"/>
      <c r="E298" s="331"/>
      <c r="F298" s="110"/>
      <c r="G298" s="298">
        <f>SUM(G299:G324)*1.05+G325</f>
        <v>44893.894300699329</v>
      </c>
    </row>
    <row r="299" spans="1:7" ht="21.75" customHeight="1">
      <c r="A299" s="2">
        <v>1</v>
      </c>
      <c r="B299" s="84" t="s">
        <v>15</v>
      </c>
      <c r="C299" s="41" t="s">
        <v>16</v>
      </c>
      <c r="D299" s="226">
        <f>VLOOKUP(B299,[1]Dcu!$B$3:$D$511,3,0)</f>
        <v>12</v>
      </c>
      <c r="E299" s="116">
        <v>1.6</v>
      </c>
      <c r="F299" s="110">
        <f>VLOOKUP(B299,[1]Dcu!$B$3:$F$511,5,0)</f>
        <v>90909.090909090897</v>
      </c>
      <c r="G299" s="38">
        <f t="shared" ref="G299:G314" si="29">F299/(D299*26)*E299</f>
        <v>466.20046620046617</v>
      </c>
    </row>
    <row r="300" spans="1:7" ht="21.75" customHeight="1">
      <c r="A300" s="2">
        <v>2</v>
      </c>
      <c r="B300" s="84" t="s">
        <v>17</v>
      </c>
      <c r="C300" s="41" t="s">
        <v>16</v>
      </c>
      <c r="D300" s="226">
        <f>VLOOKUP(B300,[1]Dcu!$B$3:$D$511,3,0)</f>
        <v>12</v>
      </c>
      <c r="E300" s="116">
        <v>1.6</v>
      </c>
      <c r="F300" s="110">
        <f>VLOOKUP(B300,[1]Dcu!$B$3:$F$511,5,0)</f>
        <v>3181818.1818181816</v>
      </c>
      <c r="G300" s="38">
        <f t="shared" si="29"/>
        <v>16317.016317016318</v>
      </c>
    </row>
    <row r="301" spans="1:7" ht="21.75" customHeight="1">
      <c r="A301" s="2">
        <v>3</v>
      </c>
      <c r="B301" s="84" t="s">
        <v>46</v>
      </c>
      <c r="C301" s="41" t="s">
        <v>16</v>
      </c>
      <c r="D301" s="226">
        <f>VLOOKUP(B301,[1]Dcu!$B$3:$D$511,3,0)</f>
        <v>12</v>
      </c>
      <c r="E301" s="116">
        <v>1.6</v>
      </c>
      <c r="F301" s="110">
        <f>VLOOKUP(B301,[1]Dcu!$B$3:$F$511,5,0)</f>
        <v>63636.363636363632</v>
      </c>
      <c r="G301" s="38">
        <f t="shared" si="29"/>
        <v>326.34032634032633</v>
      </c>
    </row>
    <row r="302" spans="1:7" ht="21.75" customHeight="1">
      <c r="A302" s="2">
        <v>4</v>
      </c>
      <c r="B302" s="84" t="s">
        <v>40</v>
      </c>
      <c r="C302" s="41" t="s">
        <v>16</v>
      </c>
      <c r="D302" s="226">
        <f>VLOOKUP(B302,[1]Dcu!$B$3:$D$511,3,0)</f>
        <v>36</v>
      </c>
      <c r="E302" s="116">
        <v>1.6</v>
      </c>
      <c r="F302" s="110">
        <f>VLOOKUP(B302,[1]Dcu!$B$3:$F$511,5,0)</f>
        <v>99999.999999999985</v>
      </c>
      <c r="G302" s="38">
        <f t="shared" si="29"/>
        <v>170.94017094017093</v>
      </c>
    </row>
    <row r="303" spans="1:7" ht="21.75" customHeight="1">
      <c r="A303" s="2">
        <v>5</v>
      </c>
      <c r="B303" s="84" t="s">
        <v>47</v>
      </c>
      <c r="C303" s="41" t="s">
        <v>16</v>
      </c>
      <c r="D303" s="226">
        <f>VLOOKUP(B303,[1]Dcu!$B$3:$D$511,3,0)</f>
        <v>6</v>
      </c>
      <c r="E303" s="116">
        <v>1.6</v>
      </c>
      <c r="F303" s="110">
        <f>VLOOKUP(B303,[1]Dcu!$B$3:$F$511,5,0)</f>
        <v>109090.90909090909</v>
      </c>
      <c r="G303" s="38">
        <f t="shared" si="29"/>
        <v>1118.8811188811189</v>
      </c>
    </row>
    <row r="304" spans="1:7" ht="21.75" customHeight="1">
      <c r="A304" s="2">
        <v>6</v>
      </c>
      <c r="B304" s="84" t="s">
        <v>48</v>
      </c>
      <c r="C304" s="41" t="s">
        <v>16</v>
      </c>
      <c r="D304" s="226">
        <f>VLOOKUP(B304,[1]Dcu!$B$3:$D$511,3,0)</f>
        <v>6</v>
      </c>
      <c r="E304" s="116">
        <v>1.6</v>
      </c>
      <c r="F304" s="110">
        <f>VLOOKUP(B304,[1]Dcu!$B$3:$F$511,5,0)</f>
        <v>227272.72727272726</v>
      </c>
      <c r="G304" s="38">
        <f t="shared" si="29"/>
        <v>2331.0023310023312</v>
      </c>
    </row>
    <row r="305" spans="1:7" ht="21.75" customHeight="1">
      <c r="A305" s="2">
        <v>7</v>
      </c>
      <c r="B305" s="84" t="s">
        <v>43</v>
      </c>
      <c r="C305" s="41" t="s">
        <v>16</v>
      </c>
      <c r="D305" s="226">
        <f>VLOOKUP(B305,[1]Dcu!$B$3:$D$511,3,0)</f>
        <v>12</v>
      </c>
      <c r="E305" s="116">
        <v>1.6</v>
      </c>
      <c r="F305" s="110">
        <f>VLOOKUP(B305,[1]Dcu!$B$3:$F$511,5,0)</f>
        <v>40000</v>
      </c>
      <c r="G305" s="38">
        <f t="shared" si="29"/>
        <v>205.12820512820514</v>
      </c>
    </row>
    <row r="306" spans="1:7" ht="21.75" customHeight="1">
      <c r="A306" s="2">
        <v>8</v>
      </c>
      <c r="B306" s="84" t="s">
        <v>42</v>
      </c>
      <c r="C306" s="41" t="s">
        <v>16</v>
      </c>
      <c r="D306" s="226">
        <f>VLOOKUP(B306,[1]Dcu!$B$3:$D$511,3,0)</f>
        <v>12</v>
      </c>
      <c r="E306" s="116">
        <v>1.6</v>
      </c>
      <c r="F306" s="110">
        <f>VLOOKUP(B306,[1]Dcu!$B$3:$F$511,5,0)</f>
        <v>13636.363636363636</v>
      </c>
      <c r="G306" s="38">
        <f t="shared" si="29"/>
        <v>69.930069930069934</v>
      </c>
    </row>
    <row r="307" spans="1:7" ht="21.75" customHeight="1">
      <c r="A307" s="2">
        <v>9</v>
      </c>
      <c r="B307" s="84" t="s">
        <v>74</v>
      </c>
      <c r="C307" s="41" t="s">
        <v>16</v>
      </c>
      <c r="D307" s="226">
        <f>VLOOKUP(B307,[1]Dcu!$B$3:$D$511,3,0)</f>
        <v>12</v>
      </c>
      <c r="E307" s="116">
        <v>1.6</v>
      </c>
      <c r="F307" s="110">
        <f>VLOOKUP(B307,[1]Dcu!$B$3:$F$511,5,0)</f>
        <v>1590909.0909090908</v>
      </c>
      <c r="G307" s="38">
        <f t="shared" si="29"/>
        <v>8158.5081585081589</v>
      </c>
    </row>
    <row r="308" spans="1:7" ht="21.75" customHeight="1">
      <c r="A308" s="2">
        <v>10</v>
      </c>
      <c r="B308" s="84" t="s">
        <v>37</v>
      </c>
      <c r="C308" s="41" t="s">
        <v>16</v>
      </c>
      <c r="D308" s="226">
        <f>VLOOKUP(B308,[1]Dcu!$B$3:$D$511,3,0)</f>
        <v>12</v>
      </c>
      <c r="E308" s="116">
        <v>1.6</v>
      </c>
      <c r="F308" s="110">
        <f>VLOOKUP(B308,[1]Dcu!$B$3:$F$511,5,0)</f>
        <v>136363.63636363635</v>
      </c>
      <c r="G308" s="38">
        <f t="shared" si="29"/>
        <v>699.30069930069931</v>
      </c>
    </row>
    <row r="309" spans="1:7" ht="21.75" customHeight="1">
      <c r="A309" s="2">
        <v>11</v>
      </c>
      <c r="B309" s="84" t="s">
        <v>53</v>
      </c>
      <c r="C309" s="41" t="s">
        <v>16</v>
      </c>
      <c r="D309" s="226">
        <f>VLOOKUP(B309,[1]Dcu!$B$3:$D$511,3,0)</f>
        <v>12</v>
      </c>
      <c r="E309" s="116">
        <v>1.6</v>
      </c>
      <c r="F309" s="110">
        <f>VLOOKUP(B309,[1]Dcu!$B$3:$F$511,5,0)</f>
        <v>81818.181818181809</v>
      </c>
      <c r="G309" s="38">
        <f t="shared" si="29"/>
        <v>419.58041958041952</v>
      </c>
    </row>
    <row r="310" spans="1:7" ht="21.75" customHeight="1">
      <c r="A310" s="2">
        <v>12</v>
      </c>
      <c r="B310" s="84" t="s">
        <v>42</v>
      </c>
      <c r="C310" s="41" t="s">
        <v>16</v>
      </c>
      <c r="D310" s="226">
        <f>VLOOKUP(B310,[1]Dcu!$B$3:$D$511,3,0)</f>
        <v>12</v>
      </c>
      <c r="E310" s="116">
        <v>1.6</v>
      </c>
      <c r="F310" s="110">
        <f>VLOOKUP(B310,[1]Dcu!$B$3:$F$511,5,0)</f>
        <v>13636.363636363636</v>
      </c>
      <c r="G310" s="38">
        <f t="shared" si="29"/>
        <v>69.930069930069934</v>
      </c>
    </row>
    <row r="311" spans="1:7" ht="21.75" customHeight="1">
      <c r="A311" s="2">
        <v>13</v>
      </c>
      <c r="B311" s="84" t="s">
        <v>469</v>
      </c>
      <c r="C311" s="41" t="s">
        <v>16</v>
      </c>
      <c r="D311" s="226">
        <f>VLOOKUP(B311,[1]Dcu!$B$3:$D$511,3,0)</f>
        <v>36</v>
      </c>
      <c r="E311" s="116">
        <v>1.6</v>
      </c>
      <c r="F311" s="110">
        <f>VLOOKUP(B311,[1]Dcu!$B$3:$F$511,5,0)</f>
        <v>2727272.7272727271</v>
      </c>
      <c r="G311" s="38">
        <f t="shared" si="29"/>
        <v>4662.0046620046624</v>
      </c>
    </row>
    <row r="312" spans="1:7" ht="21.75" customHeight="1">
      <c r="A312" s="2">
        <v>14</v>
      </c>
      <c r="B312" s="84" t="s">
        <v>23</v>
      </c>
      <c r="C312" s="41" t="s">
        <v>16</v>
      </c>
      <c r="D312" s="226">
        <f>VLOOKUP(B312,[1]Dcu!$B$3:$D$511,3,0)</f>
        <v>36</v>
      </c>
      <c r="E312" s="116">
        <v>1.6</v>
      </c>
      <c r="F312" s="110">
        <f>VLOOKUP(B312,[1]Dcu!$B$3:$F$511,5,0)</f>
        <v>309090.90909090906</v>
      </c>
      <c r="G312" s="38">
        <f t="shared" si="29"/>
        <v>528.36052836052829</v>
      </c>
    </row>
    <row r="313" spans="1:7" ht="21.75" customHeight="1">
      <c r="A313" s="2">
        <v>15</v>
      </c>
      <c r="B313" s="84" t="s">
        <v>24</v>
      </c>
      <c r="C313" s="41" t="s">
        <v>16</v>
      </c>
      <c r="D313" s="226">
        <f>VLOOKUP(B313,[1]Dcu!$B$3:$D$511,3,0)</f>
        <v>36</v>
      </c>
      <c r="E313" s="116">
        <v>1.6</v>
      </c>
      <c r="F313" s="110">
        <f>VLOOKUP(B313,[1]Dcu!$B$3:$F$511,5,0)</f>
        <v>636363.63636363635</v>
      </c>
      <c r="G313" s="38">
        <f t="shared" si="29"/>
        <v>1087.801087801088</v>
      </c>
    </row>
    <row r="314" spans="1:7" ht="21.75" customHeight="1">
      <c r="A314" s="2">
        <v>16</v>
      </c>
      <c r="B314" s="3" t="s">
        <v>360</v>
      </c>
      <c r="C314" s="4" t="s">
        <v>16</v>
      </c>
      <c r="D314" s="226">
        <f>VLOOKUP(B314,[1]Dcu!$B$3:$D$511,3,0)</f>
        <v>12</v>
      </c>
      <c r="E314" s="116">
        <v>1.6</v>
      </c>
      <c r="F314" s="110">
        <f>VLOOKUP(B314,[1]Dcu!$B$3:$F$511,5,0)</f>
        <v>27272.727272727272</v>
      </c>
      <c r="G314" s="38">
        <f t="shared" si="29"/>
        <v>139.86013986013987</v>
      </c>
    </row>
    <row r="315" spans="1:7" ht="21.75" customHeight="1">
      <c r="A315" s="2">
        <v>18</v>
      </c>
      <c r="B315" s="84" t="s">
        <v>361</v>
      </c>
      <c r="C315" s="4" t="s">
        <v>49</v>
      </c>
      <c r="D315" s="226">
        <f>VLOOKUP(B315,[1]Dcu!$B$3:$D$511,3,0)</f>
        <v>0.3</v>
      </c>
      <c r="E315" s="2">
        <v>0.03</v>
      </c>
      <c r="F315" s="110">
        <f>VLOOKUP(B315,[1]Dcu!$B$3:$F$511,5,0)</f>
        <v>181818.18181818179</v>
      </c>
      <c r="G315" s="38">
        <f t="shared" ref="G315:G324" si="30">F315/(D315*26)*E315</f>
        <v>699.30069930069919</v>
      </c>
    </row>
    <row r="316" spans="1:7" ht="21.75" customHeight="1">
      <c r="A316" s="2">
        <v>19</v>
      </c>
      <c r="B316" s="84" t="s">
        <v>26</v>
      </c>
      <c r="C316" s="4" t="s">
        <v>49</v>
      </c>
      <c r="D316" s="226">
        <f>VLOOKUP(B316,[1]Dcu!$B$3:$D$511,3,0)</f>
        <v>0.3</v>
      </c>
      <c r="E316" s="2">
        <v>0.03</v>
      </c>
      <c r="F316" s="110">
        <f>VLOOKUP(B316,[1]Dcu!$B$3:$F$511,5,0)</f>
        <v>363636.36363636359</v>
      </c>
      <c r="G316" s="38">
        <f t="shared" si="30"/>
        <v>1398.6013986013984</v>
      </c>
    </row>
    <row r="317" spans="1:7" ht="21.75" customHeight="1">
      <c r="A317" s="2">
        <v>20</v>
      </c>
      <c r="B317" s="84" t="s">
        <v>27</v>
      </c>
      <c r="C317" s="41" t="s">
        <v>16</v>
      </c>
      <c r="D317" s="226">
        <f>VLOOKUP(B317,[1]Dcu!$B$3:$D$511,3,0)</f>
        <v>60</v>
      </c>
      <c r="E317" s="2">
        <v>5.2999999999999999E-2</v>
      </c>
      <c r="F317" s="110">
        <f>VLOOKUP(B317,[1]Dcu!$B$3:$F$511,5,0)</f>
        <v>454545.45454545453</v>
      </c>
      <c r="G317" s="38">
        <f t="shared" si="30"/>
        <v>15.442890442890441</v>
      </c>
    </row>
    <row r="318" spans="1:7" ht="21.75" customHeight="1">
      <c r="A318" s="2">
        <v>21</v>
      </c>
      <c r="B318" s="84" t="s">
        <v>28</v>
      </c>
      <c r="C318" s="41" t="s">
        <v>16</v>
      </c>
      <c r="D318" s="226">
        <f>VLOOKUP(B318,[1]Dcu!$B$3:$D$511,3,0)</f>
        <v>60</v>
      </c>
      <c r="E318" s="4">
        <v>5.2999999999999999E-2</v>
      </c>
      <c r="F318" s="110">
        <f>VLOOKUP(B318,[1]Dcu!$B$3:$F$511,5,0)</f>
        <v>227272.72727272726</v>
      </c>
      <c r="G318" s="38">
        <f t="shared" si="30"/>
        <v>7.7214452214452205</v>
      </c>
    </row>
    <row r="319" spans="1:7" ht="21.75" customHeight="1">
      <c r="A319" s="2">
        <v>22</v>
      </c>
      <c r="B319" s="84" t="s">
        <v>29</v>
      </c>
      <c r="C319" s="41" t="s">
        <v>16</v>
      </c>
      <c r="D319" s="226">
        <f>VLOOKUP(B319,[1]Dcu!$B$3:$D$511,3,0)</f>
        <v>60</v>
      </c>
      <c r="E319" s="4">
        <v>3.0000000000000001E-3</v>
      </c>
      <c r="F319" s="110">
        <f>VLOOKUP(B319,[1]Dcu!$B$3:$F$511,5,0)</f>
        <v>1454545.4545454544</v>
      </c>
      <c r="G319" s="38">
        <f t="shared" si="30"/>
        <v>2.7972027972027971</v>
      </c>
    </row>
    <row r="320" spans="1:7" ht="21.75" customHeight="1">
      <c r="A320" s="2">
        <v>23</v>
      </c>
      <c r="B320" s="84" t="s">
        <v>30</v>
      </c>
      <c r="C320" s="41" t="s">
        <v>16</v>
      </c>
      <c r="D320" s="226">
        <f>VLOOKUP(B320,[1]Dcu!$B$3:$D$511,3,0)</f>
        <v>60</v>
      </c>
      <c r="E320" s="4">
        <v>0.01</v>
      </c>
      <c r="F320" s="110">
        <f>VLOOKUP(B320,[1]Dcu!$B$3:$F$511,5,0)</f>
        <v>1363636.3636363635</v>
      </c>
      <c r="G320" s="38">
        <f t="shared" si="30"/>
        <v>8.7412587412587399</v>
      </c>
    </row>
    <row r="321" spans="1:7" ht="21.75" customHeight="1">
      <c r="A321" s="2">
        <v>24</v>
      </c>
      <c r="B321" s="84" t="s">
        <v>31</v>
      </c>
      <c r="C321" s="41" t="s">
        <v>22</v>
      </c>
      <c r="D321" s="226">
        <f>VLOOKUP(B321,[1]Dcu!$B$3:$D$511,3,0)</f>
        <v>36</v>
      </c>
      <c r="E321" s="4">
        <v>0.32</v>
      </c>
      <c r="F321" s="110">
        <f>VLOOKUP(B321,[1]Dcu!$B$3:$F$511,5,0)</f>
        <v>36363.63636363636</v>
      </c>
      <c r="G321" s="38">
        <f t="shared" si="30"/>
        <v>12.432012432012431</v>
      </c>
    </row>
    <row r="322" spans="1:7" ht="21.75" customHeight="1">
      <c r="A322" s="2">
        <v>25</v>
      </c>
      <c r="B322" s="84" t="s">
        <v>32</v>
      </c>
      <c r="C322" s="41" t="s">
        <v>16</v>
      </c>
      <c r="D322" s="226">
        <f>VLOOKUP(B322,[1]Dcu!$B$3:$D$511,3,0)</f>
        <v>96</v>
      </c>
      <c r="E322" s="4">
        <v>0.08</v>
      </c>
      <c r="F322" s="110">
        <f>VLOOKUP(B322,[1]Dcu!$B$3:$F$511,5,0)</f>
        <v>909090.90909090906</v>
      </c>
      <c r="G322" s="38">
        <f t="shared" si="30"/>
        <v>29.137529137529135</v>
      </c>
    </row>
    <row r="323" spans="1:7" ht="21.75" customHeight="1">
      <c r="A323" s="2">
        <v>26</v>
      </c>
      <c r="B323" s="84" t="s">
        <v>33</v>
      </c>
      <c r="C323" s="41" t="s">
        <v>16</v>
      </c>
      <c r="D323" s="226">
        <f>VLOOKUP(B323,[1]Dcu!$B$3:$D$511,3,0)</f>
        <v>96</v>
      </c>
      <c r="E323" s="4">
        <v>0.8</v>
      </c>
      <c r="F323" s="110">
        <f>VLOOKUP(B323,[1]Dcu!$B$3:$F$511,5,0)</f>
        <v>272727.27272727271</v>
      </c>
      <c r="G323" s="38">
        <f t="shared" si="30"/>
        <v>87.412587412587413</v>
      </c>
    </row>
    <row r="324" spans="1:7" ht="21.75" customHeight="1">
      <c r="A324" s="2">
        <v>27</v>
      </c>
      <c r="B324" s="84" t="s">
        <v>34</v>
      </c>
      <c r="C324" s="41" t="s">
        <v>16</v>
      </c>
      <c r="D324" s="226">
        <f>VLOOKUP(B324,[1]Dcu!$B$3:$D$511,3,0)</f>
        <v>96</v>
      </c>
      <c r="E324" s="4">
        <v>0.6</v>
      </c>
      <c r="F324" s="110">
        <f>VLOOKUP(B324,[1]Dcu!$B$3:$F$511,5,0)</f>
        <v>72727.272727272721</v>
      </c>
      <c r="G324" s="38">
        <f t="shared" si="30"/>
        <v>17.48251748251748</v>
      </c>
    </row>
    <row r="325" spans="1:7" ht="21.75" customHeight="1">
      <c r="A325" s="2">
        <v>29</v>
      </c>
      <c r="B325" s="84" t="s">
        <v>35</v>
      </c>
      <c r="C325" s="41" t="s">
        <v>36</v>
      </c>
      <c r="D325" s="109"/>
      <c r="E325" s="109">
        <v>2.3290000000000002</v>
      </c>
      <c r="F325" s="110">
        <f>VLOOKUP(B325,[1]Dcu!$B$3:$F$511,5,0)</f>
        <v>1670.9090909090908</v>
      </c>
      <c r="G325" s="38">
        <f>E325*F325</f>
        <v>3891.5472727272727</v>
      </c>
    </row>
    <row r="326" spans="1:7" ht="21.75" customHeight="1">
      <c r="A326" s="1" t="s">
        <v>320</v>
      </c>
      <c r="B326" s="332" t="s">
        <v>307</v>
      </c>
      <c r="C326" s="332"/>
      <c r="D326" s="332"/>
      <c r="E326" s="332"/>
      <c r="F326" s="110"/>
      <c r="G326" s="298">
        <f>SUM(G327:G352)*1.05+G353</f>
        <v>49898.825396270411</v>
      </c>
    </row>
    <row r="327" spans="1:7" ht="21.75" customHeight="1">
      <c r="A327" s="2">
        <v>1</v>
      </c>
      <c r="B327" s="84" t="s">
        <v>15</v>
      </c>
      <c r="C327" s="41" t="s">
        <v>50</v>
      </c>
      <c r="D327" s="226">
        <f>VLOOKUP(B327,[1]Dcu!$B$3:$D$511,3,0)</f>
        <v>12</v>
      </c>
      <c r="E327" s="116">
        <v>1.5</v>
      </c>
      <c r="F327" s="110">
        <f>VLOOKUP(B327,[1]Dcu!$B$3:$F$511,5,0)</f>
        <v>90909.090909090897</v>
      </c>
      <c r="G327" s="38">
        <f t="shared" ref="G327:G352" si="31">F327/(D327*26)*E327</f>
        <v>437.06293706293701</v>
      </c>
    </row>
    <row r="328" spans="1:7" ht="21.75" customHeight="1">
      <c r="A328" s="2">
        <v>2</v>
      </c>
      <c r="B328" s="84" t="s">
        <v>17</v>
      </c>
      <c r="C328" s="41" t="s">
        <v>50</v>
      </c>
      <c r="D328" s="226">
        <f>VLOOKUP(B328,[1]Dcu!$B$3:$D$511,3,0)</f>
        <v>12</v>
      </c>
      <c r="E328" s="116">
        <v>1.5</v>
      </c>
      <c r="F328" s="110">
        <f>VLOOKUP(B328,[1]Dcu!$B$3:$F$511,5,0)</f>
        <v>3181818.1818181816</v>
      </c>
      <c r="G328" s="38">
        <f t="shared" si="31"/>
        <v>15297.202797202797</v>
      </c>
    </row>
    <row r="329" spans="1:7" ht="21.75" customHeight="1">
      <c r="A329" s="2">
        <v>3</v>
      </c>
      <c r="B329" s="84" t="s">
        <v>58</v>
      </c>
      <c r="C329" s="41" t="s">
        <v>50</v>
      </c>
      <c r="D329" s="226">
        <f>VLOOKUP(B329,[1]Dcu!$B$3:$D$511,3,0)</f>
        <v>12</v>
      </c>
      <c r="E329" s="116">
        <v>1.5</v>
      </c>
      <c r="F329" s="110">
        <f>VLOOKUP(B329,[1]Dcu!$B$3:$F$511,5,0)</f>
        <v>63636.363636363632</v>
      </c>
      <c r="G329" s="38">
        <f t="shared" si="31"/>
        <v>305.94405594405595</v>
      </c>
    </row>
    <row r="330" spans="1:7" ht="21.75" customHeight="1">
      <c r="A330" s="2">
        <v>4</v>
      </c>
      <c r="B330" s="84" t="s">
        <v>40</v>
      </c>
      <c r="C330" s="41" t="s">
        <v>50</v>
      </c>
      <c r="D330" s="226">
        <f>VLOOKUP(B330,[1]Dcu!$B$3:$D$511,3,0)</f>
        <v>36</v>
      </c>
      <c r="E330" s="116">
        <v>1.5</v>
      </c>
      <c r="F330" s="110">
        <f>VLOOKUP(B330,[1]Dcu!$B$3:$F$511,5,0)</f>
        <v>99999.999999999985</v>
      </c>
      <c r="G330" s="38">
        <f t="shared" si="31"/>
        <v>160.25641025641025</v>
      </c>
    </row>
    <row r="331" spans="1:7" ht="21.75" customHeight="1">
      <c r="A331" s="2">
        <v>5</v>
      </c>
      <c r="B331" s="84" t="s">
        <v>48</v>
      </c>
      <c r="C331" s="41" t="s">
        <v>50</v>
      </c>
      <c r="D331" s="226">
        <f>VLOOKUP(B331,[1]Dcu!$B$3:$D$511,3,0)</f>
        <v>6</v>
      </c>
      <c r="E331" s="116">
        <v>1.5</v>
      </c>
      <c r="F331" s="110">
        <f>VLOOKUP(B331,[1]Dcu!$B$3:$F$511,5,0)</f>
        <v>227272.72727272726</v>
      </c>
      <c r="G331" s="38">
        <f t="shared" si="31"/>
        <v>2185.3146853146854</v>
      </c>
    </row>
    <row r="332" spans="1:7" ht="21.75" customHeight="1">
      <c r="A332" s="2">
        <v>6</v>
      </c>
      <c r="B332" s="84" t="s">
        <v>43</v>
      </c>
      <c r="C332" s="41" t="s">
        <v>50</v>
      </c>
      <c r="D332" s="226">
        <f>VLOOKUP(B332,[1]Dcu!$B$3:$D$511,3,0)</f>
        <v>12</v>
      </c>
      <c r="E332" s="116">
        <v>1.5</v>
      </c>
      <c r="F332" s="110">
        <f>VLOOKUP(B332,[1]Dcu!$B$3:$F$511,5,0)</f>
        <v>40000</v>
      </c>
      <c r="G332" s="38">
        <f t="shared" si="31"/>
        <v>192.30769230769232</v>
      </c>
    </row>
    <row r="333" spans="1:7" ht="21.75" customHeight="1">
      <c r="A333" s="2">
        <v>7</v>
      </c>
      <c r="B333" s="84" t="s">
        <v>53</v>
      </c>
      <c r="C333" s="41" t="s">
        <v>50</v>
      </c>
      <c r="D333" s="226">
        <f>VLOOKUP(B333,[1]Dcu!$B$3:$D$511,3,0)</f>
        <v>12</v>
      </c>
      <c r="E333" s="116">
        <v>1.5</v>
      </c>
      <c r="F333" s="110">
        <f>VLOOKUP(B333,[1]Dcu!$B$3:$F$511,5,0)</f>
        <v>81818.181818181809</v>
      </c>
      <c r="G333" s="38">
        <f t="shared" si="31"/>
        <v>393.3566433566433</v>
      </c>
    </row>
    <row r="334" spans="1:7" ht="21.75" customHeight="1">
      <c r="A334" s="2">
        <v>8</v>
      </c>
      <c r="B334" s="84" t="s">
        <v>20</v>
      </c>
      <c r="C334" s="41" t="s">
        <v>50</v>
      </c>
      <c r="D334" s="226">
        <f>VLOOKUP(B334,[1]Dcu!$B$3:$D$511,3,0)</f>
        <v>12</v>
      </c>
      <c r="E334" s="116">
        <v>1.5</v>
      </c>
      <c r="F334" s="110">
        <f>VLOOKUP(B334,[1]Dcu!$B$3:$F$511,5,0)</f>
        <v>80000</v>
      </c>
      <c r="G334" s="38">
        <f t="shared" si="31"/>
        <v>384.61538461538464</v>
      </c>
    </row>
    <row r="335" spans="1:7" ht="21.75" customHeight="1">
      <c r="A335" s="2">
        <v>9</v>
      </c>
      <c r="B335" s="84" t="s">
        <v>21</v>
      </c>
      <c r="C335" s="41" t="s">
        <v>61</v>
      </c>
      <c r="D335" s="226">
        <f>VLOOKUP(B335,[1]Dcu!$B$3:$D$511,3,0)</f>
        <v>12</v>
      </c>
      <c r="E335" s="116">
        <v>1.5</v>
      </c>
      <c r="F335" s="110">
        <f>VLOOKUP(B335,[1]Dcu!$B$3:$F$511,5,0)</f>
        <v>129999.99999999999</v>
      </c>
      <c r="G335" s="38">
        <f t="shared" si="31"/>
        <v>625</v>
      </c>
    </row>
    <row r="336" spans="1:7" ht="21.75" customHeight="1">
      <c r="A336" s="2">
        <v>10</v>
      </c>
      <c r="B336" s="84" t="s">
        <v>62</v>
      </c>
      <c r="C336" s="41" t="s">
        <v>16</v>
      </c>
      <c r="D336" s="226">
        <f>VLOOKUP(B336,[1]Dcu!$B$3:$D$511,3,0)</f>
        <v>24</v>
      </c>
      <c r="E336" s="42">
        <v>0.4</v>
      </c>
      <c r="F336" s="110">
        <f>VLOOKUP(B336,[1]Dcu!$B$3:$F$511,5,0)</f>
        <v>13636363.636363635</v>
      </c>
      <c r="G336" s="38">
        <f t="shared" si="31"/>
        <v>8741.25874125874</v>
      </c>
    </row>
    <row r="337" spans="1:7" ht="21.75" customHeight="1">
      <c r="A337" s="2">
        <v>11</v>
      </c>
      <c r="B337" s="84" t="s">
        <v>63</v>
      </c>
      <c r="C337" s="41" t="s">
        <v>16</v>
      </c>
      <c r="D337" s="226">
        <f>VLOOKUP(B337,[1]Dcu!$B$3:$D$511,3,0)</f>
        <v>24</v>
      </c>
      <c r="E337" s="42">
        <v>0.4</v>
      </c>
      <c r="F337" s="110">
        <f>VLOOKUP(B337,[1]Dcu!$B$3:$F$511,5,0)</f>
        <v>4090909.0909090904</v>
      </c>
      <c r="G337" s="38">
        <f t="shared" si="31"/>
        <v>2622.3776223776222</v>
      </c>
    </row>
    <row r="338" spans="1:7" ht="21.75" customHeight="1">
      <c r="A338" s="2">
        <v>12</v>
      </c>
      <c r="B338" s="84" t="s">
        <v>52</v>
      </c>
      <c r="C338" s="41" t="s">
        <v>16</v>
      </c>
      <c r="D338" s="226">
        <f>VLOOKUP(B338,[1]Dcu!$B$3:$D$511,3,0)</f>
        <v>12</v>
      </c>
      <c r="E338" s="42">
        <v>0.4</v>
      </c>
      <c r="F338" s="110">
        <f>VLOOKUP(B338,[1]Dcu!$B$3:$F$511,5,0)</f>
        <v>1454545.4545454544</v>
      </c>
      <c r="G338" s="38">
        <f t="shared" si="31"/>
        <v>1864.8018648018647</v>
      </c>
    </row>
    <row r="339" spans="1:7" ht="21.75" customHeight="1">
      <c r="A339" s="2">
        <v>13</v>
      </c>
      <c r="B339" s="84" t="s">
        <v>42</v>
      </c>
      <c r="C339" s="41" t="s">
        <v>50</v>
      </c>
      <c r="D339" s="226">
        <f>VLOOKUP(B339,[1]Dcu!$B$3:$D$511,3,0)</f>
        <v>12</v>
      </c>
      <c r="E339" s="42">
        <v>1.5</v>
      </c>
      <c r="F339" s="110">
        <f>VLOOKUP(B339,[1]Dcu!$B$3:$F$511,5,0)</f>
        <v>13636.363636363636</v>
      </c>
      <c r="G339" s="38">
        <f t="shared" si="31"/>
        <v>65.55944055944056</v>
      </c>
    </row>
    <row r="340" spans="1:7" ht="21.75" customHeight="1">
      <c r="A340" s="2">
        <v>14</v>
      </c>
      <c r="B340" s="84" t="s">
        <v>23</v>
      </c>
      <c r="C340" s="41" t="s">
        <v>50</v>
      </c>
      <c r="D340" s="226">
        <f>VLOOKUP(B340,[1]Dcu!$B$3:$D$511,3,0)</f>
        <v>36</v>
      </c>
      <c r="E340" s="42">
        <v>1.5</v>
      </c>
      <c r="F340" s="110">
        <f>VLOOKUP(B340,[1]Dcu!$B$3:$F$511,5,0)</f>
        <v>309090.90909090906</v>
      </c>
      <c r="G340" s="38">
        <f t="shared" si="31"/>
        <v>495.33799533799527</v>
      </c>
    </row>
    <row r="341" spans="1:7" ht="21.75" customHeight="1">
      <c r="A341" s="2">
        <v>15</v>
      </c>
      <c r="B341" s="84" t="s">
        <v>74</v>
      </c>
      <c r="C341" s="41" t="s">
        <v>50</v>
      </c>
      <c r="D341" s="226">
        <f>VLOOKUP(B341,[1]Dcu!$B$3:$D$511,3,0)</f>
        <v>12</v>
      </c>
      <c r="E341" s="42">
        <v>1.5</v>
      </c>
      <c r="F341" s="110">
        <f>VLOOKUP(B341,[1]Dcu!$B$3:$F$511,5,0)</f>
        <v>1590909.0909090908</v>
      </c>
      <c r="G341" s="38">
        <f t="shared" si="31"/>
        <v>7648.6013986013986</v>
      </c>
    </row>
    <row r="342" spans="1:7" ht="21.75" customHeight="1">
      <c r="A342" s="2">
        <v>16</v>
      </c>
      <c r="B342" s="3" t="s">
        <v>360</v>
      </c>
      <c r="C342" s="4" t="s">
        <v>16</v>
      </c>
      <c r="D342" s="226">
        <f>VLOOKUP(B342,[1]Dcu!$B$3:$D$511,3,0)</f>
        <v>12</v>
      </c>
      <c r="E342" s="42">
        <v>1.5</v>
      </c>
      <c r="F342" s="110">
        <f>VLOOKUP(B342,[1]Dcu!$B$3:$F$511,5,0)</f>
        <v>27272.727272727272</v>
      </c>
      <c r="G342" s="38">
        <f t="shared" si="31"/>
        <v>131.11888111888112</v>
      </c>
    </row>
    <row r="343" spans="1:7" ht="21.75" customHeight="1">
      <c r="A343" s="2">
        <v>18</v>
      </c>
      <c r="B343" s="84" t="s">
        <v>361</v>
      </c>
      <c r="C343" s="4" t="s">
        <v>49</v>
      </c>
      <c r="D343" s="226">
        <f>VLOOKUP(B343,[1]Dcu!$B$3:$D$511,3,0)</f>
        <v>0.3</v>
      </c>
      <c r="E343" s="2">
        <v>0.03</v>
      </c>
      <c r="F343" s="110">
        <f>VLOOKUP(B343,[1]Dcu!$B$3:$F$511,5,0)</f>
        <v>181818.18181818179</v>
      </c>
      <c r="G343" s="38">
        <f t="shared" si="31"/>
        <v>699.30069930069919</v>
      </c>
    </row>
    <row r="344" spans="1:7" ht="21.75" customHeight="1">
      <c r="A344" s="2">
        <v>19</v>
      </c>
      <c r="B344" s="84" t="s">
        <v>26</v>
      </c>
      <c r="C344" s="4" t="s">
        <v>49</v>
      </c>
      <c r="D344" s="226">
        <f>VLOOKUP(B344,[1]Dcu!$B$3:$D$511,3,0)</f>
        <v>0.3</v>
      </c>
      <c r="E344" s="2">
        <v>0.03</v>
      </c>
      <c r="F344" s="110">
        <f>VLOOKUP(B344,[1]Dcu!$B$3:$F$511,5,0)</f>
        <v>363636.36363636359</v>
      </c>
      <c r="G344" s="38">
        <f t="shared" si="31"/>
        <v>1398.6013986013984</v>
      </c>
    </row>
    <row r="345" spans="1:7" ht="21.75" customHeight="1">
      <c r="A345" s="2">
        <v>20</v>
      </c>
      <c r="B345" s="84" t="s">
        <v>27</v>
      </c>
      <c r="C345" s="41" t="s">
        <v>50</v>
      </c>
      <c r="D345" s="226">
        <f>VLOOKUP(B345,[1]Dcu!$B$3:$D$511,3,0)</f>
        <v>60</v>
      </c>
      <c r="E345" s="2">
        <v>5.2999999999999999E-2</v>
      </c>
      <c r="F345" s="110">
        <f>VLOOKUP(B345,[1]Dcu!$B$3:$F$511,5,0)</f>
        <v>454545.45454545453</v>
      </c>
      <c r="G345" s="38">
        <f t="shared" si="31"/>
        <v>15.442890442890441</v>
      </c>
    </row>
    <row r="346" spans="1:7" ht="21.75" customHeight="1">
      <c r="A346" s="2">
        <v>21</v>
      </c>
      <c r="B346" s="84" t="s">
        <v>28</v>
      </c>
      <c r="C346" s="41" t="s">
        <v>50</v>
      </c>
      <c r="D346" s="226">
        <f>VLOOKUP(B346,[1]Dcu!$B$3:$D$511,3,0)</f>
        <v>60</v>
      </c>
      <c r="E346" s="4">
        <v>5.2999999999999999E-2</v>
      </c>
      <c r="F346" s="110">
        <f>VLOOKUP(B346,[1]Dcu!$B$3:$F$511,5,0)</f>
        <v>227272.72727272726</v>
      </c>
      <c r="G346" s="38">
        <f t="shared" si="31"/>
        <v>7.7214452214452205</v>
      </c>
    </row>
    <row r="347" spans="1:7" ht="21.75" customHeight="1">
      <c r="A347" s="2">
        <v>22</v>
      </c>
      <c r="B347" s="84" t="s">
        <v>29</v>
      </c>
      <c r="C347" s="41" t="s">
        <v>50</v>
      </c>
      <c r="D347" s="226">
        <f>VLOOKUP(B347,[1]Dcu!$B$3:$D$511,3,0)</f>
        <v>60</v>
      </c>
      <c r="E347" s="4">
        <v>3.0000000000000001E-3</v>
      </c>
      <c r="F347" s="110">
        <f>VLOOKUP(B347,[1]Dcu!$B$3:$F$511,5,0)</f>
        <v>1454545.4545454544</v>
      </c>
      <c r="G347" s="38">
        <f t="shared" si="31"/>
        <v>2.7972027972027971</v>
      </c>
    </row>
    <row r="348" spans="1:7" ht="21.75" customHeight="1">
      <c r="A348" s="2">
        <v>23</v>
      </c>
      <c r="B348" s="84" t="s">
        <v>30</v>
      </c>
      <c r="C348" s="41" t="s">
        <v>50</v>
      </c>
      <c r="D348" s="226">
        <f>VLOOKUP(B348,[1]Dcu!$B$3:$D$511,3,0)</f>
        <v>60</v>
      </c>
      <c r="E348" s="4">
        <v>0.01</v>
      </c>
      <c r="F348" s="110">
        <f>VLOOKUP(B348,[1]Dcu!$B$3:$F$511,5,0)</f>
        <v>1363636.3636363635</v>
      </c>
      <c r="G348" s="38">
        <f t="shared" si="31"/>
        <v>8.7412587412587399</v>
      </c>
    </row>
    <row r="349" spans="1:7" ht="21.75" customHeight="1">
      <c r="A349" s="2">
        <v>25</v>
      </c>
      <c r="B349" s="84" t="s">
        <v>31</v>
      </c>
      <c r="C349" s="41" t="s">
        <v>22</v>
      </c>
      <c r="D349" s="226">
        <f>VLOOKUP(B349,[1]Dcu!$B$3:$D$511,3,0)</f>
        <v>36</v>
      </c>
      <c r="E349" s="4">
        <v>0.32</v>
      </c>
      <c r="F349" s="110">
        <f>VLOOKUP(B349,[1]Dcu!$B$3:$F$511,5,0)</f>
        <v>36363.63636363636</v>
      </c>
      <c r="G349" s="38">
        <f t="shared" si="31"/>
        <v>12.432012432012431</v>
      </c>
    </row>
    <row r="350" spans="1:7" ht="21.75" customHeight="1">
      <c r="A350" s="2">
        <v>26</v>
      </c>
      <c r="B350" s="84" t="s">
        <v>32</v>
      </c>
      <c r="C350" s="41" t="s">
        <v>50</v>
      </c>
      <c r="D350" s="226">
        <f>VLOOKUP(B350,[1]Dcu!$B$3:$D$511,3,0)</f>
        <v>96</v>
      </c>
      <c r="E350" s="4">
        <v>0.08</v>
      </c>
      <c r="F350" s="110">
        <f>VLOOKUP(B350,[1]Dcu!$B$3:$F$511,5,0)</f>
        <v>909090.90909090906</v>
      </c>
      <c r="G350" s="38">
        <f t="shared" si="31"/>
        <v>29.137529137529135</v>
      </c>
    </row>
    <row r="351" spans="1:7" ht="21.75" customHeight="1">
      <c r="A351" s="2">
        <v>27</v>
      </c>
      <c r="B351" s="84" t="s">
        <v>33</v>
      </c>
      <c r="C351" s="41" t="s">
        <v>50</v>
      </c>
      <c r="D351" s="226">
        <f>VLOOKUP(B351,[1]Dcu!$B$3:$D$511,3,0)</f>
        <v>96</v>
      </c>
      <c r="E351" s="4">
        <v>0.8</v>
      </c>
      <c r="F351" s="110">
        <f>VLOOKUP(B351,[1]Dcu!$B$3:$F$511,5,0)</f>
        <v>272727.27272727271</v>
      </c>
      <c r="G351" s="38">
        <f t="shared" si="31"/>
        <v>87.412587412587413</v>
      </c>
    </row>
    <row r="352" spans="1:7" ht="21.75" customHeight="1">
      <c r="A352" s="2">
        <v>28</v>
      </c>
      <c r="B352" s="84" t="s">
        <v>34</v>
      </c>
      <c r="C352" s="41" t="s">
        <v>50</v>
      </c>
      <c r="D352" s="226">
        <f>VLOOKUP(B352,[1]Dcu!$B$3:$D$511,3,0)</f>
        <v>96</v>
      </c>
      <c r="E352" s="4">
        <v>0.6</v>
      </c>
      <c r="F352" s="110">
        <f>VLOOKUP(B352,[1]Dcu!$B$3:$F$511,5,0)</f>
        <v>72727.272727272721</v>
      </c>
      <c r="G352" s="38">
        <f t="shared" si="31"/>
        <v>17.48251748251748</v>
      </c>
    </row>
    <row r="353" spans="1:7" ht="21.75" customHeight="1">
      <c r="A353" s="2">
        <v>29</v>
      </c>
      <c r="B353" s="84" t="s">
        <v>35</v>
      </c>
      <c r="C353" s="41" t="s">
        <v>65</v>
      </c>
      <c r="D353" s="41"/>
      <c r="E353" s="116">
        <v>2.3210000000000002</v>
      </c>
      <c r="F353" s="110">
        <f>VLOOKUP(B353,[1]Dcu!$B$3:$F$511,5,0)</f>
        <v>1670.9090909090908</v>
      </c>
      <c r="G353" s="38">
        <f>F353*E353</f>
        <v>3878.18</v>
      </c>
    </row>
    <row r="354" spans="1:7" ht="25.5" customHeight="1">
      <c r="A354" s="1" t="s">
        <v>326</v>
      </c>
      <c r="B354" s="335" t="s">
        <v>215</v>
      </c>
      <c r="C354" s="335"/>
      <c r="D354" s="335"/>
      <c r="E354" s="335"/>
      <c r="F354" s="110"/>
      <c r="G354" s="298">
        <f>SUM(G355:G380)*1.05+G381</f>
        <v>152282.05529137526</v>
      </c>
    </row>
    <row r="355" spans="1:7" ht="21.75" customHeight="1">
      <c r="A355" s="2">
        <v>1</v>
      </c>
      <c r="B355" s="40" t="s">
        <v>15</v>
      </c>
      <c r="C355" s="41" t="s">
        <v>50</v>
      </c>
      <c r="D355" s="226">
        <f>VLOOKUP(B355,[1]Dcu!$B$3:$D$511,3,0)</f>
        <v>12</v>
      </c>
      <c r="E355" s="116">
        <v>1.2</v>
      </c>
      <c r="F355" s="110">
        <f>VLOOKUP(B355,[1]Dcu!$B$3:$F$511,5,0)</f>
        <v>90909.090909090897</v>
      </c>
      <c r="G355" s="38">
        <f t="shared" si="27"/>
        <v>349.6503496503496</v>
      </c>
    </row>
    <row r="356" spans="1:7" ht="21.75" customHeight="1">
      <c r="A356" s="2">
        <v>2</v>
      </c>
      <c r="B356" s="40" t="s">
        <v>71</v>
      </c>
      <c r="C356" s="41" t="s">
        <v>50</v>
      </c>
      <c r="D356" s="226">
        <f>VLOOKUP(B356,[1]Dcu!$B$3:$D$511,3,0)</f>
        <v>12</v>
      </c>
      <c r="E356" s="116">
        <v>1.2</v>
      </c>
      <c r="F356" s="110">
        <f>VLOOKUP(B356,[1]Dcu!$B$3:$F$511,5,0)</f>
        <v>1727272.7272727271</v>
      </c>
      <c r="G356" s="38">
        <f t="shared" si="27"/>
        <v>6643.356643356643</v>
      </c>
    </row>
    <row r="357" spans="1:7" ht="21.75" customHeight="1">
      <c r="A357" s="2">
        <v>3</v>
      </c>
      <c r="B357" s="40" t="s">
        <v>72</v>
      </c>
      <c r="C357" s="41" t="s">
        <v>50</v>
      </c>
      <c r="D357" s="226">
        <f>VLOOKUP(B357,[1]Dcu!$B$3:$D$511,3,0)</f>
        <v>12</v>
      </c>
      <c r="E357" s="116">
        <v>1.2</v>
      </c>
      <c r="F357" s="110">
        <f>VLOOKUP(B357,[1]Dcu!$B$3:$F$511,5,0)</f>
        <v>24545454.545454543</v>
      </c>
      <c r="G357" s="38">
        <f t="shared" si="27"/>
        <v>94405.594405594398</v>
      </c>
    </row>
    <row r="358" spans="1:7" ht="21.75" customHeight="1">
      <c r="A358" s="2">
        <v>4</v>
      </c>
      <c r="B358" s="40" t="s">
        <v>73</v>
      </c>
      <c r="C358" s="41" t="s">
        <v>50</v>
      </c>
      <c r="D358" s="226">
        <f>VLOOKUP(B358,[1]Dcu!$B$3:$D$511,3,0)</f>
        <v>12</v>
      </c>
      <c r="E358" s="116">
        <v>1.2</v>
      </c>
      <c r="F358" s="110">
        <f>VLOOKUP(B358,[1]Dcu!$B$3:$F$511,5,0)</f>
        <v>1227272.7272727271</v>
      </c>
      <c r="G358" s="38">
        <f t="shared" si="27"/>
        <v>4720.2797202797192</v>
      </c>
    </row>
    <row r="359" spans="1:7" ht="21.75" customHeight="1">
      <c r="A359" s="2">
        <v>5</v>
      </c>
      <c r="B359" s="40" t="s">
        <v>74</v>
      </c>
      <c r="C359" s="41" t="s">
        <v>50</v>
      </c>
      <c r="D359" s="226">
        <f>VLOOKUP(B359,[1]Dcu!$B$3:$D$511,3,0)</f>
        <v>12</v>
      </c>
      <c r="E359" s="116">
        <v>1.2</v>
      </c>
      <c r="F359" s="110">
        <f>VLOOKUP(B359,[1]Dcu!$B$3:$F$511,5,0)</f>
        <v>1590909.0909090908</v>
      </c>
      <c r="G359" s="38">
        <f t="shared" si="27"/>
        <v>6118.8811188811187</v>
      </c>
    </row>
    <row r="360" spans="1:7" ht="21.75" customHeight="1">
      <c r="A360" s="2">
        <v>6</v>
      </c>
      <c r="B360" s="40" t="s">
        <v>38</v>
      </c>
      <c r="C360" s="41" t="s">
        <v>50</v>
      </c>
      <c r="D360" s="226">
        <f>VLOOKUP(B360,[1]Dcu!$B$3:$D$511,3,0)</f>
        <v>12</v>
      </c>
      <c r="E360" s="116">
        <v>1.2</v>
      </c>
      <c r="F360" s="110">
        <f>VLOOKUP(B360,[1]Dcu!$B$3:$F$511,5,0)</f>
        <v>72727.272727272721</v>
      </c>
      <c r="G360" s="38">
        <f t="shared" si="27"/>
        <v>279.72027972027968</v>
      </c>
    </row>
    <row r="361" spans="1:7" ht="21.75" customHeight="1">
      <c r="A361" s="2">
        <v>7</v>
      </c>
      <c r="B361" s="40" t="s">
        <v>17</v>
      </c>
      <c r="C361" s="41" t="s">
        <v>50</v>
      </c>
      <c r="D361" s="226">
        <f>VLOOKUP(B361,[1]Dcu!$B$3:$D$511,3,0)</f>
        <v>12</v>
      </c>
      <c r="E361" s="116">
        <v>1.2</v>
      </c>
      <c r="F361" s="110">
        <f>VLOOKUP(B361,[1]Dcu!$B$3:$F$511,5,0)</f>
        <v>3181818.1818181816</v>
      </c>
      <c r="G361" s="38">
        <f t="shared" si="27"/>
        <v>12237.762237762237</v>
      </c>
    </row>
    <row r="362" spans="1:7" ht="21.75" customHeight="1">
      <c r="A362" s="2">
        <v>8</v>
      </c>
      <c r="B362" s="40" t="s">
        <v>53</v>
      </c>
      <c r="C362" s="41" t="s">
        <v>50</v>
      </c>
      <c r="D362" s="226">
        <f>VLOOKUP(B362,[1]Dcu!$B$3:$D$511,3,0)</f>
        <v>12</v>
      </c>
      <c r="E362" s="116">
        <v>1.2</v>
      </c>
      <c r="F362" s="110">
        <f>VLOOKUP(B362,[1]Dcu!$B$3:$F$511,5,0)</f>
        <v>81818.181818181809</v>
      </c>
      <c r="G362" s="38">
        <f t="shared" si="27"/>
        <v>314.68531468531461</v>
      </c>
    </row>
    <row r="363" spans="1:7" ht="21.75" customHeight="1">
      <c r="A363" s="2">
        <v>9</v>
      </c>
      <c r="B363" s="40" t="s">
        <v>19</v>
      </c>
      <c r="C363" s="41" t="s">
        <v>50</v>
      </c>
      <c r="D363" s="226">
        <f>VLOOKUP(B363,[1]Dcu!$B$3:$D$511,3,0)</f>
        <v>12</v>
      </c>
      <c r="E363" s="116">
        <v>1.2</v>
      </c>
      <c r="F363" s="110">
        <f>VLOOKUP(B363,[1]Dcu!$B$3:$F$511,5,0)</f>
        <v>77272.727272727265</v>
      </c>
      <c r="G363" s="38">
        <f t="shared" si="27"/>
        <v>297.20279720279717</v>
      </c>
    </row>
    <row r="364" spans="1:7" ht="21.75" customHeight="1">
      <c r="A364" s="2">
        <v>10</v>
      </c>
      <c r="B364" s="40" t="s">
        <v>57</v>
      </c>
      <c r="C364" s="41" t="s">
        <v>50</v>
      </c>
      <c r="D364" s="226">
        <f>VLOOKUP(B364,[1]Dcu!$B$3:$D$511,3,0)</f>
        <v>12</v>
      </c>
      <c r="E364" s="116">
        <v>1.2</v>
      </c>
      <c r="F364" s="110">
        <f>VLOOKUP(B364,[1]Dcu!$B$3:$F$511,5,0)</f>
        <v>109999.99999999999</v>
      </c>
      <c r="G364" s="38">
        <f t="shared" si="27"/>
        <v>423.07692307692304</v>
      </c>
    </row>
    <row r="365" spans="1:7" ht="21.75" customHeight="1">
      <c r="A365" s="2">
        <v>11</v>
      </c>
      <c r="B365" s="40" t="s">
        <v>37</v>
      </c>
      <c r="C365" s="41" t="s">
        <v>50</v>
      </c>
      <c r="D365" s="226">
        <f>VLOOKUP(B365,[1]Dcu!$B$3:$D$511,3,0)</f>
        <v>12</v>
      </c>
      <c r="E365" s="116">
        <v>1.2</v>
      </c>
      <c r="F365" s="110">
        <f>VLOOKUP(B365,[1]Dcu!$B$3:$F$511,5,0)</f>
        <v>136363.63636363635</v>
      </c>
      <c r="G365" s="38">
        <f t="shared" si="27"/>
        <v>524.47552447552437</v>
      </c>
    </row>
    <row r="366" spans="1:7" ht="21.75" customHeight="1">
      <c r="A366" s="2">
        <v>12</v>
      </c>
      <c r="B366" s="40" t="s">
        <v>23</v>
      </c>
      <c r="C366" s="41" t="s">
        <v>50</v>
      </c>
      <c r="D366" s="226">
        <f>VLOOKUP(B366,[1]Dcu!$B$3:$D$511,3,0)</f>
        <v>36</v>
      </c>
      <c r="E366" s="116">
        <v>1.2</v>
      </c>
      <c r="F366" s="110">
        <f>VLOOKUP(B366,[1]Dcu!$B$3:$F$511,5,0)</f>
        <v>309090.90909090906</v>
      </c>
      <c r="G366" s="38">
        <f t="shared" si="27"/>
        <v>396.27039627039625</v>
      </c>
    </row>
    <row r="367" spans="1:7" ht="21.75" customHeight="1">
      <c r="A367" s="2">
        <v>13</v>
      </c>
      <c r="B367" s="40" t="s">
        <v>24</v>
      </c>
      <c r="C367" s="41" t="s">
        <v>50</v>
      </c>
      <c r="D367" s="226">
        <f>VLOOKUP(B367,[1]Dcu!$B$3:$D$511,3,0)</f>
        <v>36</v>
      </c>
      <c r="E367" s="116">
        <v>1.2</v>
      </c>
      <c r="F367" s="110">
        <f>VLOOKUP(B367,[1]Dcu!$B$3:$F$511,5,0)</f>
        <v>636363.63636363635</v>
      </c>
      <c r="G367" s="38">
        <f t="shared" si="27"/>
        <v>815.85081585081582</v>
      </c>
    </row>
    <row r="368" spans="1:7" ht="21.75" customHeight="1">
      <c r="A368" s="2">
        <v>14</v>
      </c>
      <c r="B368" s="40" t="s">
        <v>25</v>
      </c>
      <c r="C368" s="41" t="s">
        <v>50</v>
      </c>
      <c r="D368" s="226">
        <f>VLOOKUP(B368,[1]Dcu!$B$3:$D$511,3,0)</f>
        <v>36</v>
      </c>
      <c r="E368" s="116">
        <v>1.2</v>
      </c>
      <c r="F368" s="110">
        <f>VLOOKUP(B368,[1]Dcu!$B$3:$F$511,5,0)</f>
        <v>54545.454545454544</v>
      </c>
      <c r="G368" s="38">
        <f t="shared" si="27"/>
        <v>69.930069930069919</v>
      </c>
    </row>
    <row r="369" spans="1:7" ht="21.75" customHeight="1">
      <c r="A369" s="2">
        <v>15</v>
      </c>
      <c r="B369" s="3" t="s">
        <v>360</v>
      </c>
      <c r="C369" s="4" t="s">
        <v>16</v>
      </c>
      <c r="D369" s="226">
        <f>VLOOKUP(B369,[1]Dcu!$B$3:$D$511,3,0)</f>
        <v>12</v>
      </c>
      <c r="E369" s="116">
        <v>1.2</v>
      </c>
      <c r="F369" s="110">
        <f>VLOOKUP(B369,[1]Dcu!$B$3:$F$511,5,0)</f>
        <v>27272.727272727272</v>
      </c>
      <c r="G369" s="38">
        <f t="shared" si="27"/>
        <v>104.89510489510489</v>
      </c>
    </row>
    <row r="370" spans="1:7" ht="21.75" customHeight="1">
      <c r="A370" s="2">
        <v>17</v>
      </c>
      <c r="B370" s="40" t="s">
        <v>361</v>
      </c>
      <c r="C370" s="4" t="s">
        <v>49</v>
      </c>
      <c r="D370" s="226">
        <f>VLOOKUP(B370,[1]Dcu!$B$3:$D$511,3,0)</f>
        <v>0.3</v>
      </c>
      <c r="E370" s="2">
        <v>0.03</v>
      </c>
      <c r="F370" s="110">
        <f>VLOOKUP(B370,[1]Dcu!$B$3:$F$511,5,0)</f>
        <v>181818.18181818179</v>
      </c>
      <c r="G370" s="38">
        <f t="shared" si="27"/>
        <v>699.30069930069919</v>
      </c>
    </row>
    <row r="371" spans="1:7" ht="21.75" customHeight="1">
      <c r="A371" s="2">
        <v>18</v>
      </c>
      <c r="B371" s="40" t="s">
        <v>26</v>
      </c>
      <c r="C371" s="4" t="s">
        <v>49</v>
      </c>
      <c r="D371" s="226">
        <f>VLOOKUP(B371,[1]Dcu!$B$3:$D$511,3,0)</f>
        <v>0.3</v>
      </c>
      <c r="E371" s="2">
        <v>0.03</v>
      </c>
      <c r="F371" s="110">
        <f>VLOOKUP(B371,[1]Dcu!$B$3:$F$511,5,0)</f>
        <v>363636.36363636359</v>
      </c>
      <c r="G371" s="38">
        <f t="shared" si="27"/>
        <v>1398.6013986013984</v>
      </c>
    </row>
    <row r="372" spans="1:7" ht="21.75" customHeight="1">
      <c r="A372" s="2">
        <v>19</v>
      </c>
      <c r="B372" s="40" t="s">
        <v>75</v>
      </c>
      <c r="C372" s="41" t="s">
        <v>50</v>
      </c>
      <c r="D372" s="226">
        <f>VLOOKUP(B372,[1]Dcu!$B$3:$D$511,3,0)</f>
        <v>6</v>
      </c>
      <c r="E372" s="109">
        <v>1.2</v>
      </c>
      <c r="F372" s="110">
        <f>VLOOKUP(B372,[1]Dcu!$B$3:$F$511,5,0)</f>
        <v>1454545.4545454544</v>
      </c>
      <c r="G372" s="38">
        <f t="shared" si="27"/>
        <v>11188.811188811187</v>
      </c>
    </row>
    <row r="373" spans="1:7" ht="21.75" customHeight="1">
      <c r="A373" s="2">
        <v>20</v>
      </c>
      <c r="B373" s="40" t="s">
        <v>27</v>
      </c>
      <c r="C373" s="41" t="s">
        <v>50</v>
      </c>
      <c r="D373" s="226">
        <f>VLOOKUP(B373,[1]Dcu!$B$3:$D$511,3,0)</f>
        <v>60</v>
      </c>
      <c r="E373" s="2">
        <v>0.4</v>
      </c>
      <c r="F373" s="110">
        <f>VLOOKUP(B373,[1]Dcu!$B$3:$F$511,5,0)</f>
        <v>454545.45454545453</v>
      </c>
      <c r="G373" s="38">
        <f t="shared" si="27"/>
        <v>116.55011655011654</v>
      </c>
    </row>
    <row r="374" spans="1:7" ht="21.75" customHeight="1">
      <c r="A374" s="2">
        <v>21</v>
      </c>
      <c r="B374" s="40" t="s">
        <v>28</v>
      </c>
      <c r="C374" s="41" t="s">
        <v>50</v>
      </c>
      <c r="D374" s="226">
        <f>VLOOKUP(B374,[1]Dcu!$B$3:$D$511,3,0)</f>
        <v>60</v>
      </c>
      <c r="E374" s="4">
        <v>0.4</v>
      </c>
      <c r="F374" s="110">
        <f>VLOOKUP(B374,[1]Dcu!$B$3:$F$511,5,0)</f>
        <v>227272.72727272726</v>
      </c>
      <c r="G374" s="38">
        <f t="shared" si="27"/>
        <v>58.275058275058271</v>
      </c>
    </row>
    <row r="375" spans="1:7" ht="21.75" customHeight="1">
      <c r="A375" s="2">
        <v>22</v>
      </c>
      <c r="B375" s="40" t="s">
        <v>29</v>
      </c>
      <c r="C375" s="41" t="s">
        <v>50</v>
      </c>
      <c r="D375" s="226">
        <f>VLOOKUP(B375,[1]Dcu!$B$3:$D$511,3,0)</f>
        <v>60</v>
      </c>
      <c r="E375" s="4">
        <v>0.02</v>
      </c>
      <c r="F375" s="110">
        <f>VLOOKUP(B375,[1]Dcu!$B$3:$F$511,5,0)</f>
        <v>1454545.4545454544</v>
      </c>
      <c r="G375" s="38">
        <f t="shared" si="27"/>
        <v>18.648018648018645</v>
      </c>
    </row>
    <row r="376" spans="1:7" ht="21.75" customHeight="1">
      <c r="A376" s="2">
        <v>23</v>
      </c>
      <c r="B376" s="40" t="s">
        <v>30</v>
      </c>
      <c r="C376" s="41" t="s">
        <v>50</v>
      </c>
      <c r="D376" s="226">
        <f>VLOOKUP(B376,[1]Dcu!$B$3:$D$511,3,0)</f>
        <v>60</v>
      </c>
      <c r="E376" s="4">
        <v>0.01</v>
      </c>
      <c r="F376" s="110">
        <f>VLOOKUP(B376,[1]Dcu!$B$3:$F$511,5,0)</f>
        <v>1363636.3636363635</v>
      </c>
      <c r="G376" s="38">
        <f t="shared" si="27"/>
        <v>8.7412587412587399</v>
      </c>
    </row>
    <row r="377" spans="1:7" ht="21.75" customHeight="1">
      <c r="A377" s="2">
        <v>25</v>
      </c>
      <c r="B377" s="40" t="s">
        <v>31</v>
      </c>
      <c r="C377" s="41" t="s">
        <v>22</v>
      </c>
      <c r="D377" s="226">
        <f>VLOOKUP(B377,[1]Dcu!$B$3:$D$511,3,0)</f>
        <v>36</v>
      </c>
      <c r="E377" s="4">
        <v>0.32</v>
      </c>
      <c r="F377" s="110">
        <f>VLOOKUP(B377,[1]Dcu!$B$3:$F$511,5,0)</f>
        <v>36363.63636363636</v>
      </c>
      <c r="G377" s="38">
        <f t="shared" si="27"/>
        <v>12.432012432012431</v>
      </c>
    </row>
    <row r="378" spans="1:7" ht="21.75" customHeight="1">
      <c r="A378" s="2">
        <v>26</v>
      </c>
      <c r="B378" s="40" t="s">
        <v>32</v>
      </c>
      <c r="C378" s="41" t="s">
        <v>50</v>
      </c>
      <c r="D378" s="226">
        <f>VLOOKUP(B378,[1]Dcu!$B$3:$D$511,3,0)</f>
        <v>96</v>
      </c>
      <c r="E378" s="4">
        <v>0.08</v>
      </c>
      <c r="F378" s="110">
        <f>VLOOKUP(B378,[1]Dcu!$B$3:$F$511,5,0)</f>
        <v>909090.90909090906</v>
      </c>
      <c r="G378" s="38">
        <f t="shared" si="27"/>
        <v>29.137529137529135</v>
      </c>
    </row>
    <row r="379" spans="1:7" ht="21.75" customHeight="1">
      <c r="A379" s="2">
        <v>27</v>
      </c>
      <c r="B379" s="40" t="s">
        <v>33</v>
      </c>
      <c r="C379" s="41" t="s">
        <v>50</v>
      </c>
      <c r="D379" s="226">
        <f>VLOOKUP(B379,[1]Dcu!$B$3:$D$511,3,0)</f>
        <v>96</v>
      </c>
      <c r="E379" s="4">
        <v>0.8</v>
      </c>
      <c r="F379" s="110">
        <f>VLOOKUP(B379,[1]Dcu!$B$3:$F$511,5,0)</f>
        <v>272727.27272727271</v>
      </c>
      <c r="G379" s="38">
        <f t="shared" si="27"/>
        <v>87.412587412587413</v>
      </c>
    </row>
    <row r="380" spans="1:7" ht="21.75" customHeight="1">
      <c r="A380" s="2">
        <v>28</v>
      </c>
      <c r="B380" s="40" t="s">
        <v>34</v>
      </c>
      <c r="C380" s="41" t="s">
        <v>50</v>
      </c>
      <c r="D380" s="226">
        <f>VLOOKUP(B380,[1]Dcu!$B$3:$D$511,3,0)</f>
        <v>96</v>
      </c>
      <c r="E380" s="4">
        <v>0.6</v>
      </c>
      <c r="F380" s="110">
        <f>VLOOKUP(B380,[1]Dcu!$B$3:$F$511,5,0)</f>
        <v>72727.272727272721</v>
      </c>
      <c r="G380" s="38">
        <f t="shared" si="27"/>
        <v>17.48251748251748</v>
      </c>
    </row>
    <row r="381" spans="1:7" ht="21.75" customHeight="1">
      <c r="A381" s="2">
        <v>29</v>
      </c>
      <c r="B381" s="40" t="s">
        <v>35</v>
      </c>
      <c r="C381" s="41" t="s">
        <v>65</v>
      </c>
      <c r="D381" s="109"/>
      <c r="E381" s="109">
        <v>2.3210000000000002</v>
      </c>
      <c r="F381" s="110">
        <f>VLOOKUP(B381,[1]Dcu!$B$3:$F$511,5,0)</f>
        <v>1670.9090909090908</v>
      </c>
      <c r="G381" s="38">
        <f>F381*E381</f>
        <v>3878.18</v>
      </c>
    </row>
    <row r="382" spans="1:7" ht="21.75" customHeight="1">
      <c r="A382" s="1" t="s">
        <v>325</v>
      </c>
      <c r="B382" s="335" t="s">
        <v>310</v>
      </c>
      <c r="C382" s="335"/>
      <c r="D382" s="335"/>
      <c r="E382" s="335"/>
      <c r="F382" s="110"/>
      <c r="G382" s="298">
        <f>SUM(G383:G408)*1.05+G409</f>
        <v>152106.16805361302</v>
      </c>
    </row>
    <row r="383" spans="1:7" ht="21.75" customHeight="1">
      <c r="A383" s="2">
        <v>1</v>
      </c>
      <c r="B383" s="40" t="s">
        <v>15</v>
      </c>
      <c r="C383" s="41" t="s">
        <v>50</v>
      </c>
      <c r="D383" s="226">
        <f>VLOOKUP(B383,[1]Dcu!$B$3:$D$511,3,0)</f>
        <v>12</v>
      </c>
      <c r="E383" s="116">
        <v>1.2</v>
      </c>
      <c r="F383" s="110">
        <f>VLOOKUP(B383,[1]Dcu!$B$3:$F$511,5,0)</f>
        <v>90909.090909090897</v>
      </c>
      <c r="G383" s="38">
        <f t="shared" si="27"/>
        <v>349.6503496503496</v>
      </c>
    </row>
    <row r="384" spans="1:7" ht="21.75" customHeight="1">
      <c r="A384" s="2">
        <v>2</v>
      </c>
      <c r="B384" s="40" t="s">
        <v>71</v>
      </c>
      <c r="C384" s="41" t="s">
        <v>50</v>
      </c>
      <c r="D384" s="226">
        <f>VLOOKUP(B384,[1]Dcu!$B$3:$D$511,3,0)</f>
        <v>12</v>
      </c>
      <c r="E384" s="116">
        <v>1.2</v>
      </c>
      <c r="F384" s="110">
        <f>VLOOKUP(B384,[1]Dcu!$B$3:$F$511,5,0)</f>
        <v>1727272.7272727271</v>
      </c>
      <c r="G384" s="38">
        <f t="shared" si="27"/>
        <v>6643.356643356643</v>
      </c>
    </row>
    <row r="385" spans="1:7" ht="21.75" customHeight="1">
      <c r="A385" s="2">
        <v>3</v>
      </c>
      <c r="B385" s="40" t="s">
        <v>72</v>
      </c>
      <c r="C385" s="41" t="s">
        <v>50</v>
      </c>
      <c r="D385" s="226">
        <f>VLOOKUP(B385,[1]Dcu!$B$3:$D$511,3,0)</f>
        <v>12</v>
      </c>
      <c r="E385" s="116">
        <v>1.2</v>
      </c>
      <c r="F385" s="110">
        <f>VLOOKUP(B385,[1]Dcu!$B$3:$F$511,5,0)</f>
        <v>24545454.545454543</v>
      </c>
      <c r="G385" s="38">
        <f t="shared" si="27"/>
        <v>94405.594405594398</v>
      </c>
    </row>
    <row r="386" spans="1:7" ht="21.75" customHeight="1">
      <c r="A386" s="2">
        <v>4</v>
      </c>
      <c r="B386" s="40" t="s">
        <v>73</v>
      </c>
      <c r="C386" s="41" t="s">
        <v>50</v>
      </c>
      <c r="D386" s="226">
        <f>VLOOKUP(B386,[1]Dcu!$B$3:$D$511,3,0)</f>
        <v>12</v>
      </c>
      <c r="E386" s="116">
        <v>1.2</v>
      </c>
      <c r="F386" s="110">
        <f>VLOOKUP(B386,[1]Dcu!$B$3:$F$511,5,0)</f>
        <v>1227272.7272727271</v>
      </c>
      <c r="G386" s="38">
        <f t="shared" si="27"/>
        <v>4720.2797202797192</v>
      </c>
    </row>
    <row r="387" spans="1:7" ht="21.75" customHeight="1">
      <c r="A387" s="2">
        <v>5</v>
      </c>
      <c r="B387" s="40" t="s">
        <v>74</v>
      </c>
      <c r="C387" s="41" t="s">
        <v>50</v>
      </c>
      <c r="D387" s="226">
        <f>VLOOKUP(B387,[1]Dcu!$B$3:$D$511,3,0)</f>
        <v>12</v>
      </c>
      <c r="E387" s="116">
        <v>1.2</v>
      </c>
      <c r="F387" s="110">
        <f>VLOOKUP(B387,[1]Dcu!$B$3:$F$511,5,0)</f>
        <v>1590909.0909090908</v>
      </c>
      <c r="G387" s="38">
        <f t="shared" si="27"/>
        <v>6118.8811188811187</v>
      </c>
    </row>
    <row r="388" spans="1:7" ht="21.75" customHeight="1">
      <c r="A388" s="2">
        <v>6</v>
      </c>
      <c r="B388" s="40" t="s">
        <v>38</v>
      </c>
      <c r="C388" s="41" t="s">
        <v>50</v>
      </c>
      <c r="D388" s="226">
        <f>VLOOKUP(B388,[1]Dcu!$B$3:$D$511,3,0)</f>
        <v>12</v>
      </c>
      <c r="E388" s="116">
        <v>1.2</v>
      </c>
      <c r="F388" s="110">
        <f>VLOOKUP(B388,[1]Dcu!$B$3:$F$511,5,0)</f>
        <v>72727.272727272721</v>
      </c>
      <c r="G388" s="38">
        <f t="shared" si="27"/>
        <v>279.72027972027968</v>
      </c>
    </row>
    <row r="389" spans="1:7" ht="21.75" customHeight="1">
      <c r="A389" s="2">
        <v>7</v>
      </c>
      <c r="B389" s="40" t="s">
        <v>17</v>
      </c>
      <c r="C389" s="41" t="s">
        <v>50</v>
      </c>
      <c r="D389" s="226">
        <f>VLOOKUP(B389,[1]Dcu!$B$3:$D$511,3,0)</f>
        <v>12</v>
      </c>
      <c r="E389" s="116">
        <v>1.2</v>
      </c>
      <c r="F389" s="110">
        <f>VLOOKUP(B389,[1]Dcu!$B$3:$F$511,5,0)</f>
        <v>3181818.1818181816</v>
      </c>
      <c r="G389" s="38">
        <f t="shared" si="27"/>
        <v>12237.762237762237</v>
      </c>
    </row>
    <row r="390" spans="1:7" ht="21.75" customHeight="1">
      <c r="A390" s="2">
        <v>8</v>
      </c>
      <c r="B390" s="40" t="s">
        <v>53</v>
      </c>
      <c r="C390" s="41" t="s">
        <v>50</v>
      </c>
      <c r="D390" s="226">
        <f>VLOOKUP(B390,[1]Dcu!$B$3:$D$511,3,0)</f>
        <v>12</v>
      </c>
      <c r="E390" s="116">
        <v>1.2</v>
      </c>
      <c r="F390" s="110">
        <f>VLOOKUP(B390,[1]Dcu!$B$3:$F$511,5,0)</f>
        <v>81818.181818181809</v>
      </c>
      <c r="G390" s="38">
        <f t="shared" si="27"/>
        <v>314.68531468531461</v>
      </c>
    </row>
    <row r="391" spans="1:7" ht="21.75" customHeight="1">
      <c r="A391" s="2">
        <v>9</v>
      </c>
      <c r="B391" s="40" t="s">
        <v>19</v>
      </c>
      <c r="C391" s="41" t="s">
        <v>50</v>
      </c>
      <c r="D391" s="226">
        <f>VLOOKUP(B391,[1]Dcu!$B$3:$D$511,3,0)</f>
        <v>12</v>
      </c>
      <c r="E391" s="116">
        <v>1.2</v>
      </c>
      <c r="F391" s="110">
        <f>VLOOKUP(B391,[1]Dcu!$B$3:$F$511,5,0)</f>
        <v>77272.727272727265</v>
      </c>
      <c r="G391" s="38">
        <f t="shared" si="27"/>
        <v>297.20279720279717</v>
      </c>
    </row>
    <row r="392" spans="1:7" ht="21.75" customHeight="1">
      <c r="A392" s="2">
        <v>10</v>
      </c>
      <c r="B392" s="40" t="s">
        <v>57</v>
      </c>
      <c r="C392" s="41" t="s">
        <v>50</v>
      </c>
      <c r="D392" s="226">
        <f>VLOOKUP(B392,[1]Dcu!$B$3:$D$511,3,0)</f>
        <v>12</v>
      </c>
      <c r="E392" s="116">
        <v>1.2</v>
      </c>
      <c r="F392" s="110">
        <f>VLOOKUP(B392,[1]Dcu!$B$3:$F$511,5,0)</f>
        <v>109999.99999999999</v>
      </c>
      <c r="G392" s="38">
        <f t="shared" si="27"/>
        <v>423.07692307692304</v>
      </c>
    </row>
    <row r="393" spans="1:7" ht="21.75" customHeight="1">
      <c r="A393" s="2">
        <v>11</v>
      </c>
      <c r="B393" s="40" t="s">
        <v>37</v>
      </c>
      <c r="C393" s="41" t="s">
        <v>50</v>
      </c>
      <c r="D393" s="226">
        <f>VLOOKUP(B393,[1]Dcu!$B$3:$D$511,3,0)</f>
        <v>12</v>
      </c>
      <c r="E393" s="116">
        <v>1.2</v>
      </c>
      <c r="F393" s="110">
        <f>VLOOKUP(B393,[1]Dcu!$B$3:$F$511,5,0)</f>
        <v>136363.63636363635</v>
      </c>
      <c r="G393" s="38">
        <f t="shared" si="27"/>
        <v>524.47552447552437</v>
      </c>
    </row>
    <row r="394" spans="1:7" ht="21.75" customHeight="1">
      <c r="A394" s="2">
        <v>12</v>
      </c>
      <c r="B394" s="40" t="s">
        <v>23</v>
      </c>
      <c r="C394" s="41" t="s">
        <v>50</v>
      </c>
      <c r="D394" s="226">
        <f>VLOOKUP(B394,[1]Dcu!$B$3:$D$511,3,0)</f>
        <v>36</v>
      </c>
      <c r="E394" s="116">
        <v>1.2</v>
      </c>
      <c r="F394" s="110">
        <f>VLOOKUP(B394,[1]Dcu!$B$3:$F$511,5,0)</f>
        <v>309090.90909090906</v>
      </c>
      <c r="G394" s="38">
        <f t="shared" si="27"/>
        <v>396.27039627039625</v>
      </c>
    </row>
    <row r="395" spans="1:7" ht="21.75" customHeight="1">
      <c r="A395" s="2">
        <v>13</v>
      </c>
      <c r="B395" s="40" t="s">
        <v>24</v>
      </c>
      <c r="C395" s="41" t="s">
        <v>50</v>
      </c>
      <c r="D395" s="226">
        <f>VLOOKUP(B395,[1]Dcu!$B$3:$D$511,3,0)</f>
        <v>36</v>
      </c>
      <c r="E395" s="116">
        <v>1.2</v>
      </c>
      <c r="F395" s="110">
        <f>VLOOKUP(B395,[1]Dcu!$B$3:$F$511,5,0)</f>
        <v>636363.63636363635</v>
      </c>
      <c r="G395" s="38">
        <f t="shared" si="27"/>
        <v>815.85081585081582</v>
      </c>
    </row>
    <row r="396" spans="1:7" ht="21.75" customHeight="1">
      <c r="A396" s="2">
        <v>14</v>
      </c>
      <c r="B396" s="40" t="s">
        <v>25</v>
      </c>
      <c r="C396" s="41" t="s">
        <v>50</v>
      </c>
      <c r="D396" s="226">
        <f>VLOOKUP(B396,[1]Dcu!$B$3:$D$511,3,0)</f>
        <v>36</v>
      </c>
      <c r="E396" s="116">
        <v>1.2</v>
      </c>
      <c r="F396" s="110">
        <f>VLOOKUP(B396,[1]Dcu!$B$3:$F$511,5,0)</f>
        <v>54545.454545454544</v>
      </c>
      <c r="G396" s="38">
        <f t="shared" si="27"/>
        <v>69.930069930069919</v>
      </c>
    </row>
    <row r="397" spans="1:7" ht="21.75" customHeight="1">
      <c r="A397" s="2">
        <v>15</v>
      </c>
      <c r="B397" s="3" t="s">
        <v>360</v>
      </c>
      <c r="C397" s="4" t="s">
        <v>16</v>
      </c>
      <c r="D397" s="226">
        <f>VLOOKUP(B397,[1]Dcu!$B$3:$D$511,3,0)</f>
        <v>12</v>
      </c>
      <c r="E397" s="116">
        <v>1.2</v>
      </c>
      <c r="F397" s="110">
        <f>VLOOKUP(B397,[1]Dcu!$B$3:$F$511,5,0)</f>
        <v>27272.727272727272</v>
      </c>
      <c r="G397" s="38">
        <f t="shared" si="27"/>
        <v>104.89510489510489</v>
      </c>
    </row>
    <row r="398" spans="1:7" ht="21.75" customHeight="1">
      <c r="A398" s="2">
        <v>17</v>
      </c>
      <c r="B398" s="40" t="s">
        <v>361</v>
      </c>
      <c r="C398" s="4" t="s">
        <v>49</v>
      </c>
      <c r="D398" s="226">
        <f>VLOOKUP(B398,[1]Dcu!$B$3:$D$511,3,0)</f>
        <v>0.3</v>
      </c>
      <c r="E398" s="2">
        <v>0.03</v>
      </c>
      <c r="F398" s="110">
        <f>VLOOKUP(B398,[1]Dcu!$B$3:$F$511,5,0)</f>
        <v>181818.18181818179</v>
      </c>
      <c r="G398" s="38">
        <f t="shared" si="27"/>
        <v>699.30069930069919</v>
      </c>
    </row>
    <row r="399" spans="1:7" ht="21.75" customHeight="1">
      <c r="A399" s="2">
        <v>18</v>
      </c>
      <c r="B399" s="40" t="s">
        <v>26</v>
      </c>
      <c r="C399" s="4" t="s">
        <v>49</v>
      </c>
      <c r="D399" s="226">
        <f>VLOOKUP(B399,[1]Dcu!$B$3:$D$511,3,0)</f>
        <v>0.3</v>
      </c>
      <c r="E399" s="2">
        <v>0.03</v>
      </c>
      <c r="F399" s="110">
        <f>VLOOKUP(B399,[1]Dcu!$B$3:$F$511,5,0)</f>
        <v>363636.36363636359</v>
      </c>
      <c r="G399" s="38">
        <f t="shared" si="27"/>
        <v>1398.6013986013984</v>
      </c>
    </row>
    <row r="400" spans="1:7" ht="21.75" customHeight="1">
      <c r="A400" s="2">
        <v>19</v>
      </c>
      <c r="B400" s="40" t="s">
        <v>75</v>
      </c>
      <c r="C400" s="41" t="s">
        <v>50</v>
      </c>
      <c r="D400" s="226">
        <f>VLOOKUP(B400,[1]Dcu!$B$3:$D$511,3,0)</f>
        <v>6</v>
      </c>
      <c r="E400" s="109">
        <v>1.2</v>
      </c>
      <c r="F400" s="110">
        <f>VLOOKUP(B400,[1]Dcu!$B$3:$F$511,5,0)</f>
        <v>1454545.4545454544</v>
      </c>
      <c r="G400" s="38">
        <f t="shared" si="27"/>
        <v>11188.811188811187</v>
      </c>
    </row>
    <row r="401" spans="1:7" ht="21.75" customHeight="1">
      <c r="A401" s="2">
        <v>20</v>
      </c>
      <c r="B401" s="40" t="s">
        <v>27</v>
      </c>
      <c r="C401" s="41" t="s">
        <v>50</v>
      </c>
      <c r="D401" s="226">
        <f>VLOOKUP(B401,[1]Dcu!$B$3:$D$511,3,0)</f>
        <v>60</v>
      </c>
      <c r="E401" s="2">
        <v>5.2999999999999999E-2</v>
      </c>
      <c r="F401" s="110">
        <f>VLOOKUP(B401,[1]Dcu!$B$3:$F$511,5,0)</f>
        <v>454545.45454545453</v>
      </c>
      <c r="G401" s="38">
        <f t="shared" ref="G401:G461" si="32">F401/(D401*26)*E401</f>
        <v>15.442890442890441</v>
      </c>
    </row>
    <row r="402" spans="1:7" ht="21.75" customHeight="1">
      <c r="A402" s="2">
        <v>21</v>
      </c>
      <c r="B402" s="40" t="s">
        <v>28</v>
      </c>
      <c r="C402" s="41" t="s">
        <v>50</v>
      </c>
      <c r="D402" s="226">
        <f>VLOOKUP(B402,[1]Dcu!$B$3:$D$511,3,0)</f>
        <v>60</v>
      </c>
      <c r="E402" s="4">
        <v>5.2999999999999999E-2</v>
      </c>
      <c r="F402" s="110">
        <f>VLOOKUP(B402,[1]Dcu!$B$3:$F$511,5,0)</f>
        <v>227272.72727272726</v>
      </c>
      <c r="G402" s="38">
        <f t="shared" si="32"/>
        <v>7.7214452214452205</v>
      </c>
    </row>
    <row r="403" spans="1:7" ht="21.75" customHeight="1">
      <c r="A403" s="2">
        <v>22</v>
      </c>
      <c r="B403" s="40" t="s">
        <v>29</v>
      </c>
      <c r="C403" s="41" t="s">
        <v>50</v>
      </c>
      <c r="D403" s="226">
        <f>VLOOKUP(B403,[1]Dcu!$B$3:$D$511,3,0)</f>
        <v>60</v>
      </c>
      <c r="E403" s="4">
        <v>3.0000000000000001E-3</v>
      </c>
      <c r="F403" s="110">
        <f>VLOOKUP(B403,[1]Dcu!$B$3:$F$511,5,0)</f>
        <v>1454545.4545454544</v>
      </c>
      <c r="G403" s="38">
        <f t="shared" si="32"/>
        <v>2.7972027972027971</v>
      </c>
    </row>
    <row r="404" spans="1:7" ht="21.75" customHeight="1">
      <c r="A404" s="2">
        <v>23</v>
      </c>
      <c r="B404" s="40" t="s">
        <v>30</v>
      </c>
      <c r="C404" s="41" t="s">
        <v>50</v>
      </c>
      <c r="D404" s="226">
        <f>VLOOKUP(B404,[1]Dcu!$B$3:$D$511,3,0)</f>
        <v>60</v>
      </c>
      <c r="E404" s="4">
        <v>0.01</v>
      </c>
      <c r="F404" s="110">
        <f>VLOOKUP(B404,[1]Dcu!$B$3:$F$511,5,0)</f>
        <v>1363636.3636363635</v>
      </c>
      <c r="G404" s="38">
        <f t="shared" si="32"/>
        <v>8.7412587412587399</v>
      </c>
    </row>
    <row r="405" spans="1:7" ht="21.75" customHeight="1">
      <c r="A405" s="2">
        <v>25</v>
      </c>
      <c r="B405" s="40" t="s">
        <v>31</v>
      </c>
      <c r="C405" s="41" t="s">
        <v>22</v>
      </c>
      <c r="D405" s="226">
        <f>VLOOKUP(B405,[1]Dcu!$B$3:$D$511,3,0)</f>
        <v>36</v>
      </c>
      <c r="E405" s="4">
        <v>0.32</v>
      </c>
      <c r="F405" s="110">
        <f>VLOOKUP(B405,[1]Dcu!$B$3:$F$511,5,0)</f>
        <v>36363.63636363636</v>
      </c>
      <c r="G405" s="38">
        <f t="shared" si="32"/>
        <v>12.432012432012431</v>
      </c>
    </row>
    <row r="406" spans="1:7" ht="21.75" customHeight="1">
      <c r="A406" s="2">
        <v>26</v>
      </c>
      <c r="B406" s="40" t="s">
        <v>32</v>
      </c>
      <c r="C406" s="41" t="s">
        <v>50</v>
      </c>
      <c r="D406" s="226">
        <f>VLOOKUP(B406,[1]Dcu!$B$3:$D$511,3,0)</f>
        <v>96</v>
      </c>
      <c r="E406" s="4">
        <v>0.08</v>
      </c>
      <c r="F406" s="110">
        <f>VLOOKUP(B406,[1]Dcu!$B$3:$F$511,5,0)</f>
        <v>909090.90909090906</v>
      </c>
      <c r="G406" s="38">
        <f t="shared" si="32"/>
        <v>29.137529137529135</v>
      </c>
    </row>
    <row r="407" spans="1:7" ht="21.75" customHeight="1">
      <c r="A407" s="2">
        <v>27</v>
      </c>
      <c r="B407" s="40" t="s">
        <v>33</v>
      </c>
      <c r="C407" s="41" t="s">
        <v>50</v>
      </c>
      <c r="D407" s="226">
        <f>VLOOKUP(B407,[1]Dcu!$B$3:$D$511,3,0)</f>
        <v>96</v>
      </c>
      <c r="E407" s="4">
        <v>0.8</v>
      </c>
      <c r="F407" s="110">
        <f>VLOOKUP(B407,[1]Dcu!$B$3:$F$511,5,0)</f>
        <v>272727.27272727271</v>
      </c>
      <c r="G407" s="38">
        <f t="shared" si="32"/>
        <v>87.412587412587413</v>
      </c>
    </row>
    <row r="408" spans="1:7" ht="21.75" customHeight="1">
      <c r="A408" s="2">
        <v>28</v>
      </c>
      <c r="B408" s="40" t="s">
        <v>34</v>
      </c>
      <c r="C408" s="41" t="s">
        <v>50</v>
      </c>
      <c r="D408" s="226">
        <f>VLOOKUP(B408,[1]Dcu!$B$3:$D$511,3,0)</f>
        <v>96</v>
      </c>
      <c r="E408" s="4">
        <v>0.6</v>
      </c>
      <c r="F408" s="110">
        <f>VLOOKUP(B408,[1]Dcu!$B$3:$F$511,5,0)</f>
        <v>72727.272727272721</v>
      </c>
      <c r="G408" s="38">
        <f t="shared" si="32"/>
        <v>17.48251748251748</v>
      </c>
    </row>
    <row r="409" spans="1:7" ht="21.75" customHeight="1">
      <c r="A409" s="2">
        <v>29</v>
      </c>
      <c r="B409" s="40" t="s">
        <v>35</v>
      </c>
      <c r="C409" s="41" t="s">
        <v>65</v>
      </c>
      <c r="D409" s="109"/>
      <c r="E409" s="109">
        <v>2.3210000000000002</v>
      </c>
      <c r="F409" s="110">
        <f>VLOOKUP(B409,[1]Dcu!$B$3:$F$511,5,0)</f>
        <v>1670.9090909090908</v>
      </c>
      <c r="G409" s="38">
        <f>F409*E409</f>
        <v>3878.18</v>
      </c>
    </row>
    <row r="410" spans="1:7" s="103" customFormat="1" ht="21.75" customHeight="1">
      <c r="A410" s="1" t="s">
        <v>327</v>
      </c>
      <c r="B410" s="104" t="s">
        <v>311</v>
      </c>
      <c r="C410" s="104"/>
      <c r="D410" s="104"/>
      <c r="E410" s="104"/>
      <c r="F410" s="110"/>
      <c r="G410" s="298">
        <f>SUM(G411:G436)*1.05+G437</f>
        <v>152106.16805361302</v>
      </c>
    </row>
    <row r="411" spans="1:7" ht="21.75" customHeight="1">
      <c r="A411" s="2">
        <v>1</v>
      </c>
      <c r="B411" s="40" t="s">
        <v>15</v>
      </c>
      <c r="C411" s="41" t="s">
        <v>50</v>
      </c>
      <c r="D411" s="226">
        <f>VLOOKUP(B411,[1]Dcu!$B$3:$D$511,3,0)</f>
        <v>12</v>
      </c>
      <c r="E411" s="116">
        <v>1.2</v>
      </c>
      <c r="F411" s="110">
        <f>VLOOKUP(B411,[1]Dcu!$B$3:$F$511,5,0)</f>
        <v>90909.090909090897</v>
      </c>
      <c r="G411" s="38">
        <f t="shared" si="32"/>
        <v>349.6503496503496</v>
      </c>
    </row>
    <row r="412" spans="1:7" ht="21.75" customHeight="1">
      <c r="A412" s="2">
        <v>2</v>
      </c>
      <c r="B412" s="40" t="s">
        <v>71</v>
      </c>
      <c r="C412" s="41" t="s">
        <v>50</v>
      </c>
      <c r="D412" s="226">
        <f>VLOOKUP(B412,[1]Dcu!$B$3:$D$511,3,0)</f>
        <v>12</v>
      </c>
      <c r="E412" s="116">
        <v>1.2</v>
      </c>
      <c r="F412" s="110">
        <f>VLOOKUP(B412,[1]Dcu!$B$3:$F$511,5,0)</f>
        <v>1727272.7272727271</v>
      </c>
      <c r="G412" s="38">
        <f t="shared" si="32"/>
        <v>6643.356643356643</v>
      </c>
    </row>
    <row r="413" spans="1:7" ht="21.75" customHeight="1">
      <c r="A413" s="2">
        <v>3</v>
      </c>
      <c r="B413" s="40" t="s">
        <v>72</v>
      </c>
      <c r="C413" s="41" t="s">
        <v>50</v>
      </c>
      <c r="D413" s="226">
        <f>VLOOKUP(B413,[1]Dcu!$B$3:$D$511,3,0)</f>
        <v>12</v>
      </c>
      <c r="E413" s="116">
        <v>1.2</v>
      </c>
      <c r="F413" s="110">
        <f>VLOOKUP(B413,[1]Dcu!$B$3:$F$511,5,0)</f>
        <v>24545454.545454543</v>
      </c>
      <c r="G413" s="38">
        <f t="shared" si="32"/>
        <v>94405.594405594398</v>
      </c>
    </row>
    <row r="414" spans="1:7" ht="21.75" customHeight="1">
      <c r="A414" s="2">
        <v>4</v>
      </c>
      <c r="B414" s="40" t="s">
        <v>73</v>
      </c>
      <c r="C414" s="41" t="s">
        <v>50</v>
      </c>
      <c r="D414" s="226">
        <f>VLOOKUP(B414,[1]Dcu!$B$3:$D$511,3,0)</f>
        <v>12</v>
      </c>
      <c r="E414" s="116">
        <v>1.2</v>
      </c>
      <c r="F414" s="110">
        <f>VLOOKUP(B414,[1]Dcu!$B$3:$F$511,5,0)</f>
        <v>1227272.7272727271</v>
      </c>
      <c r="G414" s="38">
        <f t="shared" si="32"/>
        <v>4720.2797202797192</v>
      </c>
    </row>
    <row r="415" spans="1:7" ht="21.75" customHeight="1">
      <c r="A415" s="2">
        <v>5</v>
      </c>
      <c r="B415" s="40" t="s">
        <v>74</v>
      </c>
      <c r="C415" s="41" t="s">
        <v>50</v>
      </c>
      <c r="D415" s="226">
        <f>VLOOKUP(B415,[1]Dcu!$B$3:$D$511,3,0)</f>
        <v>12</v>
      </c>
      <c r="E415" s="116">
        <v>1.2</v>
      </c>
      <c r="F415" s="110">
        <f>VLOOKUP(B415,[1]Dcu!$B$3:$F$511,5,0)</f>
        <v>1590909.0909090908</v>
      </c>
      <c r="G415" s="38">
        <f t="shared" si="32"/>
        <v>6118.8811188811187</v>
      </c>
    </row>
    <row r="416" spans="1:7" ht="21.75" customHeight="1">
      <c r="A416" s="2">
        <v>6</v>
      </c>
      <c r="B416" s="40" t="s">
        <v>38</v>
      </c>
      <c r="C416" s="41" t="s">
        <v>50</v>
      </c>
      <c r="D416" s="226">
        <f>VLOOKUP(B416,[1]Dcu!$B$3:$D$511,3,0)</f>
        <v>12</v>
      </c>
      <c r="E416" s="116">
        <v>1.2</v>
      </c>
      <c r="F416" s="110">
        <f>VLOOKUP(B416,[1]Dcu!$B$3:$F$511,5,0)</f>
        <v>72727.272727272721</v>
      </c>
      <c r="G416" s="38">
        <f t="shared" si="32"/>
        <v>279.72027972027968</v>
      </c>
    </row>
    <row r="417" spans="1:7" ht="21.75" customHeight="1">
      <c r="A417" s="2">
        <v>7</v>
      </c>
      <c r="B417" s="40" t="s">
        <v>17</v>
      </c>
      <c r="C417" s="41" t="s">
        <v>50</v>
      </c>
      <c r="D417" s="226">
        <f>VLOOKUP(B417,[1]Dcu!$B$3:$D$511,3,0)</f>
        <v>12</v>
      </c>
      <c r="E417" s="116">
        <v>1.2</v>
      </c>
      <c r="F417" s="110">
        <f>VLOOKUP(B417,[1]Dcu!$B$3:$F$511,5,0)</f>
        <v>3181818.1818181816</v>
      </c>
      <c r="G417" s="38">
        <f t="shared" si="32"/>
        <v>12237.762237762237</v>
      </c>
    </row>
    <row r="418" spans="1:7" ht="21.75" customHeight="1">
      <c r="A418" s="2">
        <v>8</v>
      </c>
      <c r="B418" s="40" t="s">
        <v>53</v>
      </c>
      <c r="C418" s="41" t="s">
        <v>50</v>
      </c>
      <c r="D418" s="226">
        <f>VLOOKUP(B418,[1]Dcu!$B$3:$D$511,3,0)</f>
        <v>12</v>
      </c>
      <c r="E418" s="116">
        <v>1.2</v>
      </c>
      <c r="F418" s="110">
        <f>VLOOKUP(B418,[1]Dcu!$B$3:$F$511,5,0)</f>
        <v>81818.181818181809</v>
      </c>
      <c r="G418" s="38">
        <f t="shared" si="32"/>
        <v>314.68531468531461</v>
      </c>
    </row>
    <row r="419" spans="1:7" ht="21.75" customHeight="1">
      <c r="A419" s="2">
        <v>9</v>
      </c>
      <c r="B419" s="40" t="s">
        <v>19</v>
      </c>
      <c r="C419" s="41" t="s">
        <v>50</v>
      </c>
      <c r="D419" s="226">
        <f>VLOOKUP(B419,[1]Dcu!$B$3:$D$511,3,0)</f>
        <v>12</v>
      </c>
      <c r="E419" s="116">
        <v>1.2</v>
      </c>
      <c r="F419" s="110">
        <f>VLOOKUP(B419,[1]Dcu!$B$3:$F$511,5,0)</f>
        <v>77272.727272727265</v>
      </c>
      <c r="G419" s="38">
        <f t="shared" si="32"/>
        <v>297.20279720279717</v>
      </c>
    </row>
    <row r="420" spans="1:7" ht="21.75" customHeight="1">
      <c r="A420" s="2">
        <v>10</v>
      </c>
      <c r="B420" s="40" t="s">
        <v>57</v>
      </c>
      <c r="C420" s="41" t="s">
        <v>50</v>
      </c>
      <c r="D420" s="226">
        <f>VLOOKUP(B420,[1]Dcu!$B$3:$D$511,3,0)</f>
        <v>12</v>
      </c>
      <c r="E420" s="116">
        <v>1.2</v>
      </c>
      <c r="F420" s="110">
        <f>VLOOKUP(B420,[1]Dcu!$B$3:$F$511,5,0)</f>
        <v>109999.99999999999</v>
      </c>
      <c r="G420" s="38">
        <f t="shared" si="32"/>
        <v>423.07692307692304</v>
      </c>
    </row>
    <row r="421" spans="1:7" ht="21.75" customHeight="1">
      <c r="A421" s="2">
        <v>11</v>
      </c>
      <c r="B421" s="40" t="s">
        <v>37</v>
      </c>
      <c r="C421" s="41" t="s">
        <v>50</v>
      </c>
      <c r="D421" s="226">
        <f>VLOOKUP(B421,[1]Dcu!$B$3:$D$511,3,0)</f>
        <v>12</v>
      </c>
      <c r="E421" s="116">
        <v>1.2</v>
      </c>
      <c r="F421" s="110">
        <f>VLOOKUP(B421,[1]Dcu!$B$3:$F$511,5,0)</f>
        <v>136363.63636363635</v>
      </c>
      <c r="G421" s="38">
        <f t="shared" si="32"/>
        <v>524.47552447552437</v>
      </c>
    </row>
    <row r="422" spans="1:7" ht="21.75" customHeight="1">
      <c r="A422" s="2">
        <v>12</v>
      </c>
      <c r="B422" s="40" t="s">
        <v>23</v>
      </c>
      <c r="C422" s="41" t="s">
        <v>50</v>
      </c>
      <c r="D422" s="226">
        <f>VLOOKUP(B422,[1]Dcu!$B$3:$D$511,3,0)</f>
        <v>36</v>
      </c>
      <c r="E422" s="116">
        <v>1.2</v>
      </c>
      <c r="F422" s="110">
        <f>VLOOKUP(B422,[1]Dcu!$B$3:$F$511,5,0)</f>
        <v>309090.90909090906</v>
      </c>
      <c r="G422" s="38">
        <f t="shared" si="32"/>
        <v>396.27039627039625</v>
      </c>
    </row>
    <row r="423" spans="1:7" ht="21.75" customHeight="1">
      <c r="A423" s="2">
        <v>13</v>
      </c>
      <c r="B423" s="40" t="s">
        <v>24</v>
      </c>
      <c r="C423" s="41" t="s">
        <v>50</v>
      </c>
      <c r="D423" s="226">
        <f>VLOOKUP(B423,[1]Dcu!$B$3:$D$511,3,0)</f>
        <v>36</v>
      </c>
      <c r="E423" s="116">
        <v>1.2</v>
      </c>
      <c r="F423" s="110">
        <f>VLOOKUP(B423,[1]Dcu!$B$3:$F$511,5,0)</f>
        <v>636363.63636363635</v>
      </c>
      <c r="G423" s="38">
        <f t="shared" si="32"/>
        <v>815.85081585081582</v>
      </c>
    </row>
    <row r="424" spans="1:7" ht="21.75" customHeight="1">
      <c r="A424" s="2">
        <v>14</v>
      </c>
      <c r="B424" s="40" t="s">
        <v>25</v>
      </c>
      <c r="C424" s="41" t="s">
        <v>50</v>
      </c>
      <c r="D424" s="226">
        <f>VLOOKUP(B424,[1]Dcu!$B$3:$D$511,3,0)</f>
        <v>36</v>
      </c>
      <c r="E424" s="116">
        <v>1.2</v>
      </c>
      <c r="F424" s="110">
        <f>VLOOKUP(B424,[1]Dcu!$B$3:$F$511,5,0)</f>
        <v>54545.454545454544</v>
      </c>
      <c r="G424" s="38">
        <f t="shared" si="32"/>
        <v>69.930069930069919</v>
      </c>
    </row>
    <row r="425" spans="1:7" ht="21.75" customHeight="1">
      <c r="A425" s="2">
        <v>15</v>
      </c>
      <c r="B425" s="3" t="s">
        <v>360</v>
      </c>
      <c r="C425" s="4" t="s">
        <v>16</v>
      </c>
      <c r="D425" s="226">
        <f>VLOOKUP(B425,[1]Dcu!$B$3:$D$511,3,0)</f>
        <v>12</v>
      </c>
      <c r="E425" s="116">
        <v>1.2</v>
      </c>
      <c r="F425" s="110">
        <f>VLOOKUP(B425,[1]Dcu!$B$3:$F$511,5,0)</f>
        <v>27272.727272727272</v>
      </c>
      <c r="G425" s="38">
        <f t="shared" si="32"/>
        <v>104.89510489510489</v>
      </c>
    </row>
    <row r="426" spans="1:7" ht="21.75" customHeight="1">
      <c r="A426" s="2">
        <v>17</v>
      </c>
      <c r="B426" s="40" t="s">
        <v>361</v>
      </c>
      <c r="C426" s="4" t="s">
        <v>49</v>
      </c>
      <c r="D426" s="226">
        <f>VLOOKUP(B426,[1]Dcu!$B$3:$D$511,3,0)</f>
        <v>0.3</v>
      </c>
      <c r="E426" s="2">
        <v>0.03</v>
      </c>
      <c r="F426" s="110">
        <f>VLOOKUP(B426,[1]Dcu!$B$3:$F$511,5,0)</f>
        <v>181818.18181818179</v>
      </c>
      <c r="G426" s="38">
        <f t="shared" si="32"/>
        <v>699.30069930069919</v>
      </c>
    </row>
    <row r="427" spans="1:7" ht="21.75" customHeight="1">
      <c r="A427" s="2">
        <v>18</v>
      </c>
      <c r="B427" s="40" t="s">
        <v>26</v>
      </c>
      <c r="C427" s="4" t="s">
        <v>49</v>
      </c>
      <c r="D427" s="226">
        <f>VLOOKUP(B427,[1]Dcu!$B$3:$D$511,3,0)</f>
        <v>0.3</v>
      </c>
      <c r="E427" s="2">
        <v>0.03</v>
      </c>
      <c r="F427" s="110">
        <f>VLOOKUP(B427,[1]Dcu!$B$3:$F$511,5,0)</f>
        <v>363636.36363636359</v>
      </c>
      <c r="G427" s="38">
        <f t="shared" si="32"/>
        <v>1398.6013986013984</v>
      </c>
    </row>
    <row r="428" spans="1:7" ht="21.75" customHeight="1">
      <c r="A428" s="2">
        <v>19</v>
      </c>
      <c r="B428" s="40" t="s">
        <v>75</v>
      </c>
      <c r="C428" s="41" t="s">
        <v>50</v>
      </c>
      <c r="D428" s="226">
        <f>VLOOKUP(B428,[1]Dcu!$B$3:$D$511,3,0)</f>
        <v>6</v>
      </c>
      <c r="E428" s="109">
        <v>1.2</v>
      </c>
      <c r="F428" s="110">
        <f>VLOOKUP(B428,[1]Dcu!$B$3:$F$511,5,0)</f>
        <v>1454545.4545454544</v>
      </c>
      <c r="G428" s="38">
        <f t="shared" si="32"/>
        <v>11188.811188811187</v>
      </c>
    </row>
    <row r="429" spans="1:7" ht="21.75" customHeight="1">
      <c r="A429" s="2">
        <v>20</v>
      </c>
      <c r="B429" s="40" t="s">
        <v>27</v>
      </c>
      <c r="C429" s="41" t="s">
        <v>50</v>
      </c>
      <c r="D429" s="226">
        <f>VLOOKUP(B429,[1]Dcu!$B$3:$D$511,3,0)</f>
        <v>60</v>
      </c>
      <c r="E429" s="2">
        <v>5.2999999999999999E-2</v>
      </c>
      <c r="F429" s="110">
        <f>VLOOKUP(B429,[1]Dcu!$B$3:$F$511,5,0)</f>
        <v>454545.45454545453</v>
      </c>
      <c r="G429" s="38">
        <f t="shared" si="32"/>
        <v>15.442890442890441</v>
      </c>
    </row>
    <row r="430" spans="1:7" ht="21.75" customHeight="1">
      <c r="A430" s="2">
        <v>21</v>
      </c>
      <c r="B430" s="40" t="s">
        <v>28</v>
      </c>
      <c r="C430" s="41" t="s">
        <v>50</v>
      </c>
      <c r="D430" s="226">
        <f>VLOOKUP(B430,[1]Dcu!$B$3:$D$511,3,0)</f>
        <v>60</v>
      </c>
      <c r="E430" s="4">
        <v>5.2999999999999999E-2</v>
      </c>
      <c r="F430" s="110">
        <f>VLOOKUP(B430,[1]Dcu!$B$3:$F$511,5,0)</f>
        <v>227272.72727272726</v>
      </c>
      <c r="G430" s="38">
        <f t="shared" si="32"/>
        <v>7.7214452214452205</v>
      </c>
    </row>
    <row r="431" spans="1:7" ht="21.75" customHeight="1">
      <c r="A431" s="2">
        <v>22</v>
      </c>
      <c r="B431" s="40" t="s">
        <v>29</v>
      </c>
      <c r="C431" s="41" t="s">
        <v>50</v>
      </c>
      <c r="D431" s="226">
        <f>VLOOKUP(B431,[1]Dcu!$B$3:$D$511,3,0)</f>
        <v>60</v>
      </c>
      <c r="E431" s="4">
        <v>3.0000000000000001E-3</v>
      </c>
      <c r="F431" s="110">
        <f>VLOOKUP(B431,[1]Dcu!$B$3:$F$511,5,0)</f>
        <v>1454545.4545454544</v>
      </c>
      <c r="G431" s="38">
        <f t="shared" si="32"/>
        <v>2.7972027972027971</v>
      </c>
    </row>
    <row r="432" spans="1:7" ht="21.75" customHeight="1">
      <c r="A432" s="2">
        <v>23</v>
      </c>
      <c r="B432" s="40" t="s">
        <v>30</v>
      </c>
      <c r="C432" s="41" t="s">
        <v>50</v>
      </c>
      <c r="D432" s="226">
        <f>VLOOKUP(B432,[1]Dcu!$B$3:$D$511,3,0)</f>
        <v>60</v>
      </c>
      <c r="E432" s="4">
        <v>0.01</v>
      </c>
      <c r="F432" s="110">
        <f>VLOOKUP(B432,[1]Dcu!$B$3:$F$511,5,0)</f>
        <v>1363636.3636363635</v>
      </c>
      <c r="G432" s="38">
        <f t="shared" si="32"/>
        <v>8.7412587412587399</v>
      </c>
    </row>
    <row r="433" spans="1:7" ht="21.75" customHeight="1">
      <c r="A433" s="2">
        <v>25</v>
      </c>
      <c r="B433" s="40" t="s">
        <v>31</v>
      </c>
      <c r="C433" s="41" t="s">
        <v>22</v>
      </c>
      <c r="D433" s="226">
        <f>VLOOKUP(B433,[1]Dcu!$B$3:$D$511,3,0)</f>
        <v>36</v>
      </c>
      <c r="E433" s="4">
        <v>0.32</v>
      </c>
      <c r="F433" s="110">
        <f>VLOOKUP(B433,[1]Dcu!$B$3:$F$511,5,0)</f>
        <v>36363.63636363636</v>
      </c>
      <c r="G433" s="38">
        <f t="shared" si="32"/>
        <v>12.432012432012431</v>
      </c>
    </row>
    <row r="434" spans="1:7" ht="21.75" customHeight="1">
      <c r="A434" s="2">
        <v>26</v>
      </c>
      <c r="B434" s="40" t="s">
        <v>32</v>
      </c>
      <c r="C434" s="41" t="s">
        <v>50</v>
      </c>
      <c r="D434" s="226">
        <f>VLOOKUP(B434,[1]Dcu!$B$3:$D$511,3,0)</f>
        <v>96</v>
      </c>
      <c r="E434" s="4">
        <v>0.08</v>
      </c>
      <c r="F434" s="110">
        <f>VLOOKUP(B434,[1]Dcu!$B$3:$F$511,5,0)</f>
        <v>909090.90909090906</v>
      </c>
      <c r="G434" s="38">
        <f t="shared" si="32"/>
        <v>29.137529137529135</v>
      </c>
    </row>
    <row r="435" spans="1:7" ht="21.75" customHeight="1">
      <c r="A435" s="2">
        <v>27</v>
      </c>
      <c r="B435" s="40" t="s">
        <v>33</v>
      </c>
      <c r="C435" s="41" t="s">
        <v>50</v>
      </c>
      <c r="D435" s="226">
        <f>VLOOKUP(B435,[1]Dcu!$B$3:$D$511,3,0)</f>
        <v>96</v>
      </c>
      <c r="E435" s="4">
        <v>0.8</v>
      </c>
      <c r="F435" s="110">
        <f>VLOOKUP(B435,[1]Dcu!$B$3:$F$511,5,0)</f>
        <v>272727.27272727271</v>
      </c>
      <c r="G435" s="38">
        <f t="shared" si="32"/>
        <v>87.412587412587413</v>
      </c>
    </row>
    <row r="436" spans="1:7" ht="21.75" customHeight="1">
      <c r="A436" s="2">
        <v>28</v>
      </c>
      <c r="B436" s="40" t="s">
        <v>34</v>
      </c>
      <c r="C436" s="41" t="s">
        <v>50</v>
      </c>
      <c r="D436" s="226">
        <f>VLOOKUP(B436,[1]Dcu!$B$3:$D$511,3,0)</f>
        <v>96</v>
      </c>
      <c r="E436" s="4">
        <v>0.6</v>
      </c>
      <c r="F436" s="110">
        <f>VLOOKUP(B436,[1]Dcu!$B$3:$F$511,5,0)</f>
        <v>72727.272727272721</v>
      </c>
      <c r="G436" s="38">
        <f t="shared" si="32"/>
        <v>17.48251748251748</v>
      </c>
    </row>
    <row r="437" spans="1:7" ht="21.75" customHeight="1">
      <c r="A437" s="2">
        <v>29</v>
      </c>
      <c r="B437" s="40" t="s">
        <v>35</v>
      </c>
      <c r="C437" s="41" t="s">
        <v>65</v>
      </c>
      <c r="D437" s="109"/>
      <c r="E437" s="109">
        <v>2.3210000000000002</v>
      </c>
      <c r="F437" s="110">
        <f>VLOOKUP(B437,[1]Dcu!$B$3:$F$511,5,0)</f>
        <v>1670.9090909090908</v>
      </c>
      <c r="G437" s="38">
        <f>F437*E437</f>
        <v>3878.18</v>
      </c>
    </row>
    <row r="438" spans="1:7" ht="21.75" customHeight="1">
      <c r="A438" s="1" t="s">
        <v>328</v>
      </c>
      <c r="B438" s="43" t="s">
        <v>231</v>
      </c>
      <c r="C438" s="41"/>
      <c r="D438" s="328" t="s">
        <v>331</v>
      </c>
      <c r="E438" s="329"/>
      <c r="F438" s="110"/>
      <c r="G438" s="248">
        <f>G354</f>
        <v>152282.05529137526</v>
      </c>
    </row>
    <row r="439" spans="1:7" ht="21.75" customHeight="1">
      <c r="A439" s="117" t="s">
        <v>329</v>
      </c>
      <c r="B439" s="338" t="s">
        <v>143</v>
      </c>
      <c r="C439" s="338"/>
      <c r="D439" s="338"/>
      <c r="E439" s="338"/>
      <c r="F439" s="110"/>
      <c r="G439" s="298">
        <f>SUM(G440:G464)*1.05+G465</f>
        <v>27953.774766899758</v>
      </c>
    </row>
    <row r="440" spans="1:7" ht="21.75" customHeight="1">
      <c r="A440" s="118">
        <v>1</v>
      </c>
      <c r="B440" s="119" t="s">
        <v>15</v>
      </c>
      <c r="C440" s="109" t="s">
        <v>16</v>
      </c>
      <c r="D440" s="226">
        <f>VLOOKUP(B440,[1]Dcu!$B$3:$D$511,3,0)</f>
        <v>12</v>
      </c>
      <c r="E440" s="116">
        <v>0.5</v>
      </c>
      <c r="F440" s="110">
        <f>VLOOKUP(B440,[1]Dcu!$B$3:$F$511,5,0)</f>
        <v>90909.090909090897</v>
      </c>
      <c r="G440" s="38">
        <f t="shared" si="32"/>
        <v>145.68764568764567</v>
      </c>
    </row>
    <row r="441" spans="1:7" ht="21.75" customHeight="1">
      <c r="A441" s="118">
        <v>2</v>
      </c>
      <c r="B441" s="119" t="s">
        <v>142</v>
      </c>
      <c r="C441" s="109" t="s">
        <v>16</v>
      </c>
      <c r="D441" s="226">
        <f>VLOOKUP(B441,[1]Dcu!$B$3:$D$511,3,0)</f>
        <v>12</v>
      </c>
      <c r="E441" s="116">
        <v>0.5</v>
      </c>
      <c r="F441" s="110">
        <f>VLOOKUP(B441,[1]Dcu!$B$3:$F$511,5,0)</f>
        <v>10909090.909090908</v>
      </c>
      <c r="G441" s="38">
        <f t="shared" si="32"/>
        <v>17482.51748251748</v>
      </c>
    </row>
    <row r="442" spans="1:7" ht="21.75" customHeight="1">
      <c r="A442" s="118">
        <v>3</v>
      </c>
      <c r="B442" s="119" t="s">
        <v>46</v>
      </c>
      <c r="C442" s="109" t="s">
        <v>16</v>
      </c>
      <c r="D442" s="226">
        <f>VLOOKUP(B442,[1]Dcu!$B$3:$D$511,3,0)</f>
        <v>12</v>
      </c>
      <c r="E442" s="116">
        <v>0.5</v>
      </c>
      <c r="F442" s="110">
        <f>VLOOKUP(B442,[1]Dcu!$B$3:$F$511,5,0)</f>
        <v>63636.363636363632</v>
      </c>
      <c r="G442" s="38">
        <f t="shared" si="32"/>
        <v>101.98135198135198</v>
      </c>
    </row>
    <row r="443" spans="1:7" ht="21.75" customHeight="1">
      <c r="A443" s="118">
        <v>4</v>
      </c>
      <c r="B443" s="119" t="s">
        <v>44</v>
      </c>
      <c r="C443" s="109" t="s">
        <v>16</v>
      </c>
      <c r="D443" s="226">
        <f>VLOOKUP(B443,[1]Dcu!$B$3:$D$511,3,0)</f>
        <v>12</v>
      </c>
      <c r="E443" s="116">
        <v>0.5</v>
      </c>
      <c r="F443" s="110">
        <f>VLOOKUP(B443,[1]Dcu!$B$3:$F$511,5,0)</f>
        <v>3181818.1818181816</v>
      </c>
      <c r="G443" s="38">
        <f t="shared" si="32"/>
        <v>5099.0675990675991</v>
      </c>
    </row>
    <row r="444" spans="1:7" ht="21.75" customHeight="1">
      <c r="A444" s="118">
        <v>5</v>
      </c>
      <c r="B444" s="119" t="s">
        <v>18</v>
      </c>
      <c r="C444" s="109" t="s">
        <v>16</v>
      </c>
      <c r="D444" s="226">
        <f>VLOOKUP(B444,[1]Dcu!$B$3:$D$511,3,0)</f>
        <v>1</v>
      </c>
      <c r="E444" s="116">
        <v>0.5</v>
      </c>
      <c r="F444" s="110">
        <f>VLOOKUP(B444,[1]Dcu!$B$3:$F$511,5,0)</f>
        <v>2727.272727272727</v>
      </c>
      <c r="G444" s="38">
        <f t="shared" si="32"/>
        <v>52.44755244755244</v>
      </c>
    </row>
    <row r="445" spans="1:7" ht="21.75" customHeight="1">
      <c r="A445" s="118">
        <v>6</v>
      </c>
      <c r="B445" s="119" t="s">
        <v>40</v>
      </c>
      <c r="C445" s="109" t="s">
        <v>16</v>
      </c>
      <c r="D445" s="226">
        <f>VLOOKUP(B445,[1]Dcu!$B$3:$D$511,3,0)</f>
        <v>36</v>
      </c>
      <c r="E445" s="116">
        <v>0.5</v>
      </c>
      <c r="F445" s="110">
        <f>VLOOKUP(B445,[1]Dcu!$B$3:$F$511,5,0)</f>
        <v>99999.999999999985</v>
      </c>
      <c r="G445" s="38">
        <f t="shared" si="32"/>
        <v>53.418803418803414</v>
      </c>
    </row>
    <row r="446" spans="1:7" ht="21.75" customHeight="1">
      <c r="A446" s="118">
        <v>7</v>
      </c>
      <c r="B446" s="119" t="s">
        <v>51</v>
      </c>
      <c r="C446" s="109" t="s">
        <v>16</v>
      </c>
      <c r="D446" s="226">
        <f>VLOOKUP(B446,[1]Dcu!$B$3:$D$511,3,0)</f>
        <v>12</v>
      </c>
      <c r="E446" s="116">
        <v>0.5</v>
      </c>
      <c r="F446" s="110">
        <f>VLOOKUP(B446,[1]Dcu!$B$3:$F$511,5,0)</f>
        <v>154545.45454545453</v>
      </c>
      <c r="G446" s="38">
        <f t="shared" si="32"/>
        <v>247.66899766899763</v>
      </c>
    </row>
    <row r="447" spans="1:7" ht="21.75" customHeight="1">
      <c r="A447" s="118">
        <v>8</v>
      </c>
      <c r="B447" s="119" t="s">
        <v>19</v>
      </c>
      <c r="C447" s="109" t="s">
        <v>16</v>
      </c>
      <c r="D447" s="226">
        <f>VLOOKUP(B447,[1]Dcu!$B$3:$D$511,3,0)</f>
        <v>12</v>
      </c>
      <c r="E447" s="116">
        <v>0.5</v>
      </c>
      <c r="F447" s="110">
        <f>VLOOKUP(B447,[1]Dcu!$B$3:$F$511,5,0)</f>
        <v>77272.727272727265</v>
      </c>
      <c r="G447" s="38">
        <f t="shared" si="32"/>
        <v>123.83449883449882</v>
      </c>
    </row>
    <row r="448" spans="1:7" ht="21.75" customHeight="1">
      <c r="A448" s="118">
        <v>9</v>
      </c>
      <c r="B448" s="119" t="s">
        <v>37</v>
      </c>
      <c r="C448" s="109" t="s">
        <v>16</v>
      </c>
      <c r="D448" s="226">
        <f>VLOOKUP(B448,[1]Dcu!$B$3:$D$511,3,0)</f>
        <v>12</v>
      </c>
      <c r="E448" s="116">
        <v>0.5</v>
      </c>
      <c r="F448" s="110">
        <f>VLOOKUP(B448,[1]Dcu!$B$3:$F$511,5,0)</f>
        <v>136363.63636363635</v>
      </c>
      <c r="G448" s="38">
        <f t="shared" si="32"/>
        <v>218.53146853146851</v>
      </c>
    </row>
    <row r="449" spans="1:7" ht="21.75" customHeight="1">
      <c r="A449" s="118">
        <v>10</v>
      </c>
      <c r="B449" s="119" t="s">
        <v>53</v>
      </c>
      <c r="C449" s="109" t="s">
        <v>16</v>
      </c>
      <c r="D449" s="226">
        <f>VLOOKUP(B449,[1]Dcu!$B$3:$D$511,3,0)</f>
        <v>12</v>
      </c>
      <c r="E449" s="116">
        <v>0.5</v>
      </c>
      <c r="F449" s="110">
        <f>VLOOKUP(B449,[1]Dcu!$B$3:$F$511,5,0)</f>
        <v>81818.181818181809</v>
      </c>
      <c r="G449" s="38">
        <f t="shared" si="32"/>
        <v>131.11888111888109</v>
      </c>
    </row>
    <row r="450" spans="1:7" ht="21.75" customHeight="1">
      <c r="A450" s="118">
        <v>11</v>
      </c>
      <c r="B450" s="119" t="s">
        <v>42</v>
      </c>
      <c r="C450" s="109" t="s">
        <v>16</v>
      </c>
      <c r="D450" s="226">
        <f>VLOOKUP(B450,[1]Dcu!$B$3:$D$511,3,0)</f>
        <v>12</v>
      </c>
      <c r="E450" s="116">
        <v>0.5</v>
      </c>
      <c r="F450" s="110">
        <f>VLOOKUP(B450,[1]Dcu!$B$3:$F$511,5,0)</f>
        <v>13636.363636363636</v>
      </c>
      <c r="G450" s="38">
        <f t="shared" si="32"/>
        <v>21.853146853146853</v>
      </c>
    </row>
    <row r="451" spans="1:7" ht="21.75" customHeight="1">
      <c r="A451" s="118">
        <v>12</v>
      </c>
      <c r="B451" s="119" t="s">
        <v>43</v>
      </c>
      <c r="C451" s="109" t="s">
        <v>16</v>
      </c>
      <c r="D451" s="226">
        <f>VLOOKUP(B451,[1]Dcu!$B$3:$D$511,3,0)</f>
        <v>12</v>
      </c>
      <c r="E451" s="116">
        <v>0.5</v>
      </c>
      <c r="F451" s="110">
        <f>VLOOKUP(B451,[1]Dcu!$B$3:$F$511,5,0)</f>
        <v>40000</v>
      </c>
      <c r="G451" s="38">
        <f t="shared" si="32"/>
        <v>64.102564102564102</v>
      </c>
    </row>
    <row r="452" spans="1:7" ht="21.75" customHeight="1">
      <c r="A452" s="118">
        <v>13</v>
      </c>
      <c r="B452" s="119" t="s">
        <v>23</v>
      </c>
      <c r="C452" s="109" t="s">
        <v>16</v>
      </c>
      <c r="D452" s="226">
        <f>VLOOKUP(B452,[1]Dcu!$B$3:$D$511,3,0)</f>
        <v>36</v>
      </c>
      <c r="E452" s="116">
        <v>0.5</v>
      </c>
      <c r="F452" s="110">
        <f>VLOOKUP(B452,[1]Dcu!$B$3:$F$511,5,0)</f>
        <v>309090.90909090906</v>
      </c>
      <c r="G452" s="38">
        <f t="shared" si="32"/>
        <v>165.1126651126651</v>
      </c>
    </row>
    <row r="453" spans="1:7" ht="21.75" customHeight="1">
      <c r="A453" s="118">
        <v>14</v>
      </c>
      <c r="B453" s="119" t="s">
        <v>24</v>
      </c>
      <c r="C453" s="109" t="s">
        <v>16</v>
      </c>
      <c r="D453" s="226">
        <f>VLOOKUP(B453,[1]Dcu!$B$3:$D$511,3,0)</f>
        <v>36</v>
      </c>
      <c r="E453" s="116">
        <v>0.5</v>
      </c>
      <c r="F453" s="110">
        <f>VLOOKUP(B453,[1]Dcu!$B$3:$F$511,5,0)</f>
        <v>636363.63636363635</v>
      </c>
      <c r="G453" s="38">
        <f t="shared" si="32"/>
        <v>339.93783993783995</v>
      </c>
    </row>
    <row r="454" spans="1:7" ht="21.75" customHeight="1">
      <c r="A454" s="118">
        <v>15</v>
      </c>
      <c r="B454" s="119" t="s">
        <v>54</v>
      </c>
      <c r="C454" s="109" t="s">
        <v>16</v>
      </c>
      <c r="D454" s="226">
        <f>VLOOKUP(B454,[1]Dcu!$B$3:$D$511,3,0)</f>
        <v>36</v>
      </c>
      <c r="E454" s="116">
        <v>0.5</v>
      </c>
      <c r="F454" s="110">
        <f>VLOOKUP(B454,[1]Dcu!$B$3:$F$511,5,0)</f>
        <v>99999.999999999985</v>
      </c>
      <c r="G454" s="38">
        <f t="shared" si="32"/>
        <v>53.418803418803414</v>
      </c>
    </row>
    <row r="455" spans="1:7" ht="21.75" customHeight="1">
      <c r="A455" s="118">
        <v>16</v>
      </c>
      <c r="B455" s="3" t="s">
        <v>360</v>
      </c>
      <c r="C455" s="4" t="s">
        <v>16</v>
      </c>
      <c r="D455" s="226">
        <f>VLOOKUP(B455,[1]Dcu!$B$3:$D$511,3,0)</f>
        <v>12</v>
      </c>
      <c r="E455" s="116">
        <v>0.5</v>
      </c>
      <c r="F455" s="110">
        <f>VLOOKUP(B455,[1]Dcu!$B$3:$F$511,5,0)</f>
        <v>27272.727272727272</v>
      </c>
      <c r="G455" s="38">
        <f t="shared" si="32"/>
        <v>43.706293706293707</v>
      </c>
    </row>
    <row r="456" spans="1:7" ht="21.75" customHeight="1">
      <c r="A456" s="118">
        <v>18</v>
      </c>
      <c r="B456" s="119" t="s">
        <v>361</v>
      </c>
      <c r="C456" s="4" t="s">
        <v>49</v>
      </c>
      <c r="D456" s="226">
        <f>VLOOKUP(B456,[1]Dcu!$B$3:$D$511,3,0)</f>
        <v>0.3</v>
      </c>
      <c r="E456" s="2">
        <v>0.03</v>
      </c>
      <c r="F456" s="110">
        <f>VLOOKUP(B456,[1]Dcu!$B$3:$F$511,5,0)</f>
        <v>181818.18181818179</v>
      </c>
      <c r="G456" s="38">
        <f t="shared" si="32"/>
        <v>699.30069930069919</v>
      </c>
    </row>
    <row r="457" spans="1:7" ht="21.75" customHeight="1">
      <c r="A457" s="118">
        <v>19</v>
      </c>
      <c r="B457" s="119" t="s">
        <v>26</v>
      </c>
      <c r="C457" s="4" t="s">
        <v>49</v>
      </c>
      <c r="D457" s="226">
        <f>VLOOKUP(B457,[1]Dcu!$B$3:$D$511,3,0)</f>
        <v>0.3</v>
      </c>
      <c r="E457" s="2">
        <v>0.03</v>
      </c>
      <c r="F457" s="110">
        <f>VLOOKUP(B457,[1]Dcu!$B$3:$F$511,5,0)</f>
        <v>363636.36363636359</v>
      </c>
      <c r="G457" s="38">
        <f t="shared" si="32"/>
        <v>1398.6013986013984</v>
      </c>
    </row>
    <row r="458" spans="1:7" ht="21.75" customHeight="1">
      <c r="A458" s="118">
        <v>20</v>
      </c>
      <c r="B458" s="119" t="s">
        <v>27</v>
      </c>
      <c r="C458" s="109" t="s">
        <v>16</v>
      </c>
      <c r="D458" s="226">
        <f>VLOOKUP(B458,[1]Dcu!$B$3:$D$511,3,0)</f>
        <v>60</v>
      </c>
      <c r="E458" s="2">
        <v>5.2999999999999999E-2</v>
      </c>
      <c r="F458" s="110">
        <f>VLOOKUP(B458,[1]Dcu!$B$3:$F$511,5,0)</f>
        <v>454545.45454545453</v>
      </c>
      <c r="G458" s="38">
        <f t="shared" si="32"/>
        <v>15.442890442890441</v>
      </c>
    </row>
    <row r="459" spans="1:7" ht="21.75" customHeight="1">
      <c r="A459" s="118">
        <v>21</v>
      </c>
      <c r="B459" s="119" t="s">
        <v>28</v>
      </c>
      <c r="C459" s="109" t="s">
        <v>16</v>
      </c>
      <c r="D459" s="226">
        <f>VLOOKUP(B459,[1]Dcu!$B$3:$D$511,3,0)</f>
        <v>60</v>
      </c>
      <c r="E459" s="4">
        <v>5.2999999999999999E-2</v>
      </c>
      <c r="F459" s="110">
        <f>VLOOKUP(B459,[1]Dcu!$B$3:$F$511,5,0)</f>
        <v>227272.72727272726</v>
      </c>
      <c r="G459" s="38">
        <f t="shared" si="32"/>
        <v>7.7214452214452205</v>
      </c>
    </row>
    <row r="460" spans="1:7" ht="21.75" customHeight="1">
      <c r="A460" s="118">
        <v>22</v>
      </c>
      <c r="B460" s="119" t="s">
        <v>29</v>
      </c>
      <c r="C460" s="109" t="s">
        <v>16</v>
      </c>
      <c r="D460" s="226">
        <f>VLOOKUP(B460,[1]Dcu!$B$3:$D$511,3,0)</f>
        <v>60</v>
      </c>
      <c r="E460" s="4">
        <v>3.0000000000000001E-3</v>
      </c>
      <c r="F460" s="110">
        <f>VLOOKUP(B460,[1]Dcu!$B$3:$F$511,5,0)</f>
        <v>1454545.4545454544</v>
      </c>
      <c r="G460" s="38">
        <f t="shared" si="32"/>
        <v>2.7972027972027971</v>
      </c>
    </row>
    <row r="461" spans="1:7" ht="21.75" customHeight="1">
      <c r="A461" s="118">
        <v>23</v>
      </c>
      <c r="B461" s="119" t="s">
        <v>30</v>
      </c>
      <c r="C461" s="109" t="s">
        <v>16</v>
      </c>
      <c r="D461" s="226">
        <f>VLOOKUP(B461,[1]Dcu!$B$3:$D$511,3,0)</f>
        <v>60</v>
      </c>
      <c r="E461" s="4">
        <v>0.01</v>
      </c>
      <c r="F461" s="110">
        <f>VLOOKUP(B461,[1]Dcu!$B$3:$F$511,5,0)</f>
        <v>1363636.3636363635</v>
      </c>
      <c r="G461" s="38">
        <f t="shared" si="32"/>
        <v>8.7412587412587399</v>
      </c>
    </row>
    <row r="462" spans="1:7" ht="21.75" customHeight="1">
      <c r="A462" s="118">
        <v>24</v>
      </c>
      <c r="B462" s="119" t="s">
        <v>31</v>
      </c>
      <c r="C462" s="109" t="s">
        <v>22</v>
      </c>
      <c r="D462" s="226">
        <f>VLOOKUP(B462,[1]Dcu!$B$3:$D$511,3,0)</f>
        <v>36</v>
      </c>
      <c r="E462" s="4">
        <v>0.32</v>
      </c>
      <c r="F462" s="110">
        <f>VLOOKUP(B462,[1]Dcu!$B$3:$F$511,5,0)</f>
        <v>36363.63636363636</v>
      </c>
      <c r="G462" s="38">
        <f t="shared" ref="G462:G465" si="33">F462/(D462*26)*E462</f>
        <v>12.432012432012431</v>
      </c>
    </row>
    <row r="463" spans="1:7" ht="21.75" customHeight="1">
      <c r="A463" s="118">
        <v>25</v>
      </c>
      <c r="B463" s="119" t="s">
        <v>32</v>
      </c>
      <c r="C463" s="109" t="s">
        <v>16</v>
      </c>
      <c r="D463" s="226">
        <f>VLOOKUP(B463,[1]Dcu!$B$3:$D$511,3,0)</f>
        <v>96</v>
      </c>
      <c r="E463" s="4">
        <v>0.08</v>
      </c>
      <c r="F463" s="110">
        <f>VLOOKUP(B463,[1]Dcu!$B$3:$F$511,5,0)</f>
        <v>909090.90909090906</v>
      </c>
      <c r="G463" s="38">
        <f t="shared" si="33"/>
        <v>29.137529137529135</v>
      </c>
    </row>
    <row r="464" spans="1:7" ht="21.75" customHeight="1">
      <c r="A464" s="118">
        <v>26</v>
      </c>
      <c r="B464" s="119" t="s">
        <v>33</v>
      </c>
      <c r="C464" s="109" t="s">
        <v>16</v>
      </c>
      <c r="D464" s="226">
        <f>VLOOKUP(B464,[1]Dcu!$B$3:$D$511,3,0)</f>
        <v>96</v>
      </c>
      <c r="E464" s="4">
        <v>0.8</v>
      </c>
      <c r="F464" s="110">
        <f>VLOOKUP(B464,[1]Dcu!$B$3:$F$511,5,0)</f>
        <v>272727.27272727271</v>
      </c>
      <c r="G464" s="38">
        <f t="shared" si="33"/>
        <v>87.412587412587413</v>
      </c>
    </row>
    <row r="465" spans="1:7" ht="21.75" customHeight="1">
      <c r="A465" s="118">
        <v>27</v>
      </c>
      <c r="B465" s="119" t="s">
        <v>34</v>
      </c>
      <c r="C465" s="109" t="s">
        <v>16</v>
      </c>
      <c r="D465" s="226">
        <f>VLOOKUP(B465,[1]Dcu!$B$3:$D$511,3,0)</f>
        <v>96</v>
      </c>
      <c r="E465" s="4">
        <v>0.6</v>
      </c>
      <c r="F465" s="110">
        <f>VLOOKUP(B465,[1]Dcu!$B$3:$F$511,5,0)</f>
        <v>72727.272727272721</v>
      </c>
      <c r="G465" s="38">
        <f t="shared" si="33"/>
        <v>17.48251748251748</v>
      </c>
    </row>
    <row r="466" spans="1:7" ht="21.75" customHeight="1">
      <c r="D466" s="293"/>
    </row>
    <row r="467" spans="1:7" ht="21.75" customHeight="1">
      <c r="D467" s="293"/>
    </row>
    <row r="468" spans="1:7" ht="21.75" customHeight="1">
      <c r="D468" s="293"/>
    </row>
    <row r="469" spans="1:7" ht="21.75" customHeight="1">
      <c r="D469" s="293"/>
    </row>
    <row r="470" spans="1:7" ht="21.75" customHeight="1">
      <c r="D470" s="293"/>
    </row>
    <row r="471" spans="1:7" ht="21.75" customHeight="1">
      <c r="D471" s="293"/>
    </row>
    <row r="472" spans="1:7" ht="21.75" customHeight="1">
      <c r="D472" s="293"/>
    </row>
    <row r="473" spans="1:7" ht="21.75" customHeight="1">
      <c r="D473" s="293"/>
    </row>
    <row r="474" spans="1:7" ht="21.75" customHeight="1">
      <c r="D474" s="293"/>
    </row>
    <row r="475" spans="1:7" ht="21.75" customHeight="1">
      <c r="D475" s="293"/>
    </row>
    <row r="476" spans="1:7" ht="21.75" customHeight="1">
      <c r="D476" s="293"/>
    </row>
    <row r="477" spans="1:7" ht="21.75" customHeight="1">
      <c r="D477" s="293"/>
    </row>
    <row r="478" spans="1:7" ht="21.75" customHeight="1">
      <c r="D478" s="293"/>
    </row>
    <row r="479" spans="1:7" ht="21.75" customHeight="1">
      <c r="D479" s="293"/>
    </row>
    <row r="480" spans="1:7" ht="21.75" customHeight="1">
      <c r="D480" s="293"/>
    </row>
    <row r="481" spans="4:4" ht="21.75" customHeight="1">
      <c r="D481" s="293"/>
    </row>
    <row r="482" spans="4:4" ht="21.75" customHeight="1">
      <c r="D482" s="293"/>
    </row>
    <row r="483" spans="4:4" ht="21.75" customHeight="1">
      <c r="D483" s="293"/>
    </row>
    <row r="484" spans="4:4" ht="21.75" customHeight="1">
      <c r="D484" s="293"/>
    </row>
    <row r="485" spans="4:4" ht="21.75" customHeight="1">
      <c r="D485" s="293"/>
    </row>
    <row r="486" spans="4:4" ht="21.75" customHeight="1">
      <c r="D486" s="293"/>
    </row>
    <row r="487" spans="4:4" ht="21.75" customHeight="1">
      <c r="D487" s="293"/>
    </row>
    <row r="488" spans="4:4" ht="21.75" customHeight="1">
      <c r="D488" s="293"/>
    </row>
    <row r="489" spans="4:4" ht="21.75" customHeight="1">
      <c r="D489" s="293"/>
    </row>
    <row r="490" spans="4:4" ht="21.75" customHeight="1">
      <c r="D490" s="293"/>
    </row>
    <row r="491" spans="4:4" ht="21.75" customHeight="1">
      <c r="D491" s="293"/>
    </row>
    <row r="492" spans="4:4" ht="21.75" customHeight="1">
      <c r="D492" s="293"/>
    </row>
    <row r="493" spans="4:4" ht="21.75" customHeight="1">
      <c r="D493" s="293"/>
    </row>
    <row r="494" spans="4:4" ht="21.75" customHeight="1">
      <c r="D494" s="293"/>
    </row>
    <row r="495" spans="4:4" ht="21.75" customHeight="1">
      <c r="D495" s="293"/>
    </row>
    <row r="496" spans="4:4" ht="21.75" customHeight="1">
      <c r="D496" s="293"/>
    </row>
    <row r="497" spans="4:4" ht="21.75" customHeight="1">
      <c r="D497" s="293"/>
    </row>
    <row r="498" spans="4:4" ht="21.75" customHeight="1">
      <c r="D498" s="293"/>
    </row>
    <row r="499" spans="4:4" ht="21.75" customHeight="1">
      <c r="D499" s="293"/>
    </row>
    <row r="500" spans="4:4" ht="21.75" customHeight="1">
      <c r="D500" s="293"/>
    </row>
    <row r="501" spans="4:4" ht="21.75" customHeight="1">
      <c r="D501" s="293"/>
    </row>
    <row r="502" spans="4:4" ht="21.75" customHeight="1">
      <c r="D502" s="293"/>
    </row>
    <row r="503" spans="4:4" ht="21.75" customHeight="1">
      <c r="D503" s="293"/>
    </row>
    <row r="504" spans="4:4" ht="21.75" customHeight="1">
      <c r="D504" s="293"/>
    </row>
    <row r="505" spans="4:4" ht="21.75" customHeight="1">
      <c r="D505" s="293"/>
    </row>
    <row r="506" spans="4:4" ht="21.75" customHeight="1">
      <c r="D506" s="293"/>
    </row>
    <row r="507" spans="4:4" ht="21.75" customHeight="1">
      <c r="D507" s="293"/>
    </row>
    <row r="508" spans="4:4" ht="21.75" customHeight="1">
      <c r="D508" s="293"/>
    </row>
    <row r="509" spans="4:4" ht="21.75" customHeight="1">
      <c r="D509" s="293"/>
    </row>
    <row r="510" spans="4:4" ht="21.75" customHeight="1">
      <c r="D510" s="293"/>
    </row>
    <row r="511" spans="4:4" ht="21.75" customHeight="1">
      <c r="D511" s="293"/>
    </row>
    <row r="512" spans="4:4" ht="21.75" customHeight="1">
      <c r="D512" s="293"/>
    </row>
    <row r="513" spans="4:4" ht="21.75" customHeight="1">
      <c r="D513" s="293"/>
    </row>
    <row r="514" spans="4:4" ht="21.75" customHeight="1">
      <c r="D514" s="293"/>
    </row>
    <row r="515" spans="4:4" ht="21.75" customHeight="1">
      <c r="D515" s="293"/>
    </row>
    <row r="516" spans="4:4" ht="21.75" customHeight="1">
      <c r="D516" s="293"/>
    </row>
    <row r="517" spans="4:4" ht="21.75" customHeight="1">
      <c r="D517" s="293"/>
    </row>
    <row r="518" spans="4:4" ht="21.75" customHeight="1">
      <c r="D518" s="293"/>
    </row>
    <row r="519" spans="4:4" ht="21.75" customHeight="1">
      <c r="D519" s="294"/>
    </row>
    <row r="520" spans="4:4" ht="21.75" customHeight="1">
      <c r="D520" s="294"/>
    </row>
    <row r="521" spans="4:4" ht="21.75" customHeight="1">
      <c r="D521" s="294"/>
    </row>
    <row r="522" spans="4:4" ht="21.75" customHeight="1">
      <c r="D522" s="294"/>
    </row>
    <row r="523" spans="4:4" ht="21.75" customHeight="1">
      <c r="D523" s="294"/>
    </row>
    <row r="524" spans="4:4" ht="21.75" customHeight="1">
      <c r="D524" s="294"/>
    </row>
  </sheetData>
  <autoFilter ref="A3:G465"/>
  <mergeCells count="60">
    <mergeCell ref="A1:G1"/>
    <mergeCell ref="B257:E257"/>
    <mergeCell ref="F3:F4"/>
    <mergeCell ref="E163:F163"/>
    <mergeCell ref="B66:E66"/>
    <mergeCell ref="C33:E33"/>
    <mergeCell ref="C34:E34"/>
    <mergeCell ref="C35:E35"/>
    <mergeCell ref="C37:E37"/>
    <mergeCell ref="C39:E39"/>
    <mergeCell ref="C60:E60"/>
    <mergeCell ref="C61:E61"/>
    <mergeCell ref="C63:E63"/>
    <mergeCell ref="B163:D163"/>
    <mergeCell ref="C65:E65"/>
    <mergeCell ref="G3:G4"/>
    <mergeCell ref="D438:E438"/>
    <mergeCell ref="B354:E354"/>
    <mergeCell ref="F2:G2"/>
    <mergeCell ref="B326:E326"/>
    <mergeCell ref="B439:E439"/>
    <mergeCell ref="B382:E382"/>
    <mergeCell ref="C40:E40"/>
    <mergeCell ref="C41:E41"/>
    <mergeCell ref="C42:E42"/>
    <mergeCell ref="C43:E43"/>
    <mergeCell ref="C44:E44"/>
    <mergeCell ref="C45:E45"/>
    <mergeCell ref="C46:E46"/>
    <mergeCell ref="C47:E47"/>
    <mergeCell ref="C48:E48"/>
    <mergeCell ref="C49:E49"/>
    <mergeCell ref="A3:A4"/>
    <mergeCell ref="B3:B4"/>
    <mergeCell ref="C3:C4"/>
    <mergeCell ref="E3:E4"/>
    <mergeCell ref="B298:E298"/>
    <mergeCell ref="B105:E105"/>
    <mergeCell ref="B67:D67"/>
    <mergeCell ref="B132:D132"/>
    <mergeCell ref="B193:E193"/>
    <mergeCell ref="B225:E225"/>
    <mergeCell ref="B5:F5"/>
    <mergeCell ref="C62:E62"/>
    <mergeCell ref="C64:E64"/>
    <mergeCell ref="C36:E36"/>
    <mergeCell ref="C38:E38"/>
    <mergeCell ref="D296:E296"/>
    <mergeCell ref="D297:E297"/>
    <mergeCell ref="C50:E50"/>
    <mergeCell ref="D291:E291"/>
    <mergeCell ref="D292:E292"/>
    <mergeCell ref="D293:E293"/>
    <mergeCell ref="D294:E294"/>
    <mergeCell ref="D295:E295"/>
    <mergeCell ref="D192:E192"/>
    <mergeCell ref="D287:E287"/>
    <mergeCell ref="D288:E288"/>
    <mergeCell ref="D289:E289"/>
    <mergeCell ref="D290:E29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I305"/>
  <sheetViews>
    <sheetView workbookViewId="0">
      <selection activeCell="D307" sqref="D307"/>
    </sheetView>
  </sheetViews>
  <sheetFormatPr defaultRowHeight="18" customHeight="1"/>
  <cols>
    <col min="1" max="1" width="5.85546875" style="167" customWidth="1"/>
    <col min="2" max="2" width="9.140625" style="219" customWidth="1"/>
    <col min="3" max="3" width="28.85546875" style="220" customWidth="1"/>
    <col min="4" max="4" width="9.28515625" style="220" customWidth="1"/>
    <col min="5" max="5" width="9.140625" style="221" customWidth="1"/>
    <col min="6" max="6" width="13.28515625" style="220" customWidth="1"/>
    <col min="7" max="7" width="12.28515625" style="220" customWidth="1"/>
    <col min="8" max="16384" width="9.140625" style="5"/>
  </cols>
  <sheetData>
    <row r="1" spans="1:9" ht="18" customHeight="1">
      <c r="A1" s="366" t="s">
        <v>177</v>
      </c>
      <c r="B1" s="366"/>
      <c r="C1" s="366"/>
      <c r="D1" s="366"/>
      <c r="E1" s="366"/>
      <c r="F1" s="366"/>
      <c r="G1" s="366"/>
    </row>
    <row r="2" spans="1:9" ht="36" customHeight="1">
      <c r="A2" s="367" t="s">
        <v>358</v>
      </c>
      <c r="B2" s="367"/>
      <c r="C2" s="367"/>
      <c r="D2" s="367"/>
      <c r="E2" s="367"/>
      <c r="F2" s="367"/>
      <c r="G2" s="367"/>
    </row>
    <row r="3" spans="1:9" ht="18" customHeight="1">
      <c r="B3" s="168"/>
      <c r="C3" s="168"/>
      <c r="D3" s="168"/>
      <c r="E3" s="168"/>
      <c r="F3" s="368" t="s">
        <v>176</v>
      </c>
      <c r="G3" s="368"/>
    </row>
    <row r="4" spans="1:9" ht="34.5" customHeight="1">
      <c r="A4" s="169"/>
      <c r="B4" s="170" t="s">
        <v>0</v>
      </c>
      <c r="C4" s="170" t="s">
        <v>76</v>
      </c>
      <c r="D4" s="170" t="s">
        <v>11</v>
      </c>
      <c r="E4" s="171" t="s">
        <v>77</v>
      </c>
      <c r="F4" s="172" t="s">
        <v>178</v>
      </c>
      <c r="G4" s="228" t="s">
        <v>179</v>
      </c>
    </row>
    <row r="5" spans="1:9" ht="21" customHeight="1">
      <c r="A5" s="259" t="s">
        <v>213</v>
      </c>
      <c r="B5" s="372" t="s">
        <v>351</v>
      </c>
      <c r="C5" s="373"/>
      <c r="D5" s="373"/>
      <c r="E5" s="373"/>
      <c r="F5" s="373"/>
      <c r="G5" s="229"/>
    </row>
    <row r="6" spans="1:9" ht="15.75">
      <c r="A6" s="260">
        <v>1</v>
      </c>
      <c r="B6" s="173" t="s">
        <v>258</v>
      </c>
      <c r="C6" s="174" t="s">
        <v>216</v>
      </c>
      <c r="D6" s="175"/>
      <c r="E6" s="176"/>
      <c r="F6" s="177"/>
      <c r="G6" s="230">
        <f>SUM(G7:G13)*1.08</f>
        <v>2719.6363636363635</v>
      </c>
      <c r="I6" s="5">
        <f>E7*1.2</f>
        <v>0.6</v>
      </c>
    </row>
    <row r="7" spans="1:9" ht="15.75">
      <c r="A7" s="257"/>
      <c r="B7" s="178">
        <v>1</v>
      </c>
      <c r="C7" s="179" t="s">
        <v>274</v>
      </c>
      <c r="D7" s="178" t="s">
        <v>275</v>
      </c>
      <c r="E7" s="180">
        <v>0.5</v>
      </c>
      <c r="F7" s="39">
        <f>VLOOKUP(C7,[1]VL!$B$3:$F$523,5,0)</f>
        <v>254.54545454545453</v>
      </c>
      <c r="G7" s="231">
        <f t="shared" ref="G7:G27" si="0">F7*E7</f>
        <v>127.27272727272727</v>
      </c>
      <c r="I7" s="5">
        <f t="shared" ref="I7:I70" si="1">E8*1.2</f>
        <v>6.0000000000000001E-3</v>
      </c>
    </row>
    <row r="8" spans="1:9" ht="15.75">
      <c r="A8" s="257"/>
      <c r="B8" s="178">
        <v>2</v>
      </c>
      <c r="C8" s="179" t="s">
        <v>81</v>
      </c>
      <c r="D8" s="178" t="s">
        <v>82</v>
      </c>
      <c r="E8" s="180">
        <v>5.0000000000000001E-3</v>
      </c>
      <c r="F8" s="39">
        <f>VLOOKUP(C8,[1]VL!$B$3:$F$523,5,0)</f>
        <v>9090.9090909090901</v>
      </c>
      <c r="G8" s="231">
        <f t="shared" si="0"/>
        <v>45.454545454545453</v>
      </c>
      <c r="I8" s="5">
        <f t="shared" si="1"/>
        <v>1.2E-2</v>
      </c>
    </row>
    <row r="9" spans="1:9" ht="15.75">
      <c r="A9" s="257"/>
      <c r="B9" s="178">
        <v>3</v>
      </c>
      <c r="C9" s="179" t="s">
        <v>86</v>
      </c>
      <c r="D9" s="178" t="s">
        <v>98</v>
      </c>
      <c r="E9" s="180">
        <v>0.01</v>
      </c>
      <c r="F9" s="39">
        <f>VLOOKUP(C9,[1]VL!$B$3:$F$523,5,0)</f>
        <v>36363.63636363636</v>
      </c>
      <c r="G9" s="231">
        <f t="shared" si="0"/>
        <v>363.63636363636363</v>
      </c>
      <c r="I9" s="5">
        <f t="shared" si="1"/>
        <v>2.4E-2</v>
      </c>
    </row>
    <row r="10" spans="1:9" ht="15.75">
      <c r="A10" s="257"/>
      <c r="B10" s="178">
        <v>4</v>
      </c>
      <c r="C10" s="179" t="s">
        <v>276</v>
      </c>
      <c r="D10" s="178" t="s">
        <v>98</v>
      </c>
      <c r="E10" s="180">
        <v>0.02</v>
      </c>
      <c r="F10" s="39">
        <f>VLOOKUP(C10,[1]VL!$B$3:$F$523,5,0)</f>
        <v>1818.181818181818</v>
      </c>
      <c r="G10" s="231">
        <f t="shared" si="0"/>
        <v>36.36363636363636</v>
      </c>
      <c r="I10" s="5">
        <f t="shared" si="1"/>
        <v>2.4E-2</v>
      </c>
    </row>
    <row r="11" spans="1:9" ht="15.75">
      <c r="A11" s="257"/>
      <c r="B11" s="178">
        <v>5</v>
      </c>
      <c r="C11" s="179" t="s">
        <v>277</v>
      </c>
      <c r="D11" s="178" t="s">
        <v>98</v>
      </c>
      <c r="E11" s="180">
        <v>0.02</v>
      </c>
      <c r="F11" s="39">
        <f>VLOOKUP(C11,[1]VL!$B$3:$F$523,5,0)</f>
        <v>1818.181818181818</v>
      </c>
      <c r="G11" s="231">
        <f t="shared" si="0"/>
        <v>36.36363636363636</v>
      </c>
      <c r="I11" s="5">
        <f t="shared" si="1"/>
        <v>24</v>
      </c>
    </row>
    <row r="12" spans="1:9" ht="15.75">
      <c r="A12" s="257"/>
      <c r="B12" s="178">
        <v>6</v>
      </c>
      <c r="C12" s="191" t="s">
        <v>79</v>
      </c>
      <c r="D12" s="186" t="s">
        <v>80</v>
      </c>
      <c r="E12" s="180">
        <v>20</v>
      </c>
      <c r="F12" s="39">
        <f>VLOOKUP(C12,[1]VL!$B$3:$F$523,5,0)</f>
        <v>31.818181818181817</v>
      </c>
      <c r="G12" s="231">
        <f t="shared" si="0"/>
        <v>636.36363636363637</v>
      </c>
      <c r="I12" s="5">
        <f t="shared" si="1"/>
        <v>2.4E-2</v>
      </c>
    </row>
    <row r="13" spans="1:9" ht="15.75">
      <c r="A13" s="257"/>
      <c r="B13" s="178">
        <v>7</v>
      </c>
      <c r="C13" s="179" t="s">
        <v>278</v>
      </c>
      <c r="D13" s="178" t="s">
        <v>279</v>
      </c>
      <c r="E13" s="180">
        <v>0.02</v>
      </c>
      <c r="F13" s="39">
        <f>VLOOKUP(C13,[1]VL!$B$3:$F$523,5,0)</f>
        <v>63636.363636363632</v>
      </c>
      <c r="G13" s="231">
        <f t="shared" si="0"/>
        <v>1272.7272727272727</v>
      </c>
      <c r="I13" s="5">
        <f t="shared" si="1"/>
        <v>0</v>
      </c>
    </row>
    <row r="14" spans="1:9" s="103" customFormat="1" ht="15.75">
      <c r="A14" s="257">
        <v>2</v>
      </c>
      <c r="B14" s="182" t="s">
        <v>259</v>
      </c>
      <c r="C14" s="183" t="s">
        <v>218</v>
      </c>
      <c r="D14" s="175"/>
      <c r="E14" s="184"/>
      <c r="F14" s="185"/>
      <c r="G14" s="185">
        <f>SUM(G15:G19)*1.08</f>
        <v>47765.454545454551</v>
      </c>
      <c r="I14" s="5">
        <f t="shared" si="1"/>
        <v>0.12</v>
      </c>
    </row>
    <row r="15" spans="1:9" ht="15.75">
      <c r="A15" s="257"/>
      <c r="B15" s="178">
        <v>1</v>
      </c>
      <c r="C15" s="179" t="s">
        <v>280</v>
      </c>
      <c r="D15" s="178" t="s">
        <v>281</v>
      </c>
      <c r="E15" s="180">
        <v>0.1</v>
      </c>
      <c r="F15" s="39">
        <f>VLOOKUP(C15,[1]VL!$B$3:$F$523,5,0)</f>
        <v>354545.45454545453</v>
      </c>
      <c r="G15" s="231">
        <f t="shared" si="0"/>
        <v>35454.545454545456</v>
      </c>
      <c r="I15" s="5">
        <f t="shared" si="1"/>
        <v>0.36</v>
      </c>
    </row>
    <row r="16" spans="1:9" ht="15.75">
      <c r="A16" s="257"/>
      <c r="B16" s="178">
        <v>2</v>
      </c>
      <c r="C16" s="179" t="s">
        <v>282</v>
      </c>
      <c r="D16" s="178" t="s">
        <v>283</v>
      </c>
      <c r="E16" s="180">
        <v>0.3</v>
      </c>
      <c r="F16" s="39">
        <f>VLOOKUP(C16,[1]VL!$B$3:$F$523,5,0)</f>
        <v>22727.272727272724</v>
      </c>
      <c r="G16" s="231">
        <f t="shared" si="0"/>
        <v>6818.1818181818171</v>
      </c>
      <c r="I16" s="5">
        <f t="shared" si="1"/>
        <v>24</v>
      </c>
    </row>
    <row r="17" spans="1:9" ht="15.75">
      <c r="A17" s="257"/>
      <c r="B17" s="178">
        <v>3</v>
      </c>
      <c r="C17" s="191" t="s">
        <v>79</v>
      </c>
      <c r="D17" s="186" t="s">
        <v>80</v>
      </c>
      <c r="E17" s="180">
        <v>20</v>
      </c>
      <c r="F17" s="39">
        <f>VLOOKUP(C17,[1]VL!$B$3:$F$523,5,0)</f>
        <v>31.818181818181817</v>
      </c>
      <c r="G17" s="231">
        <f t="shared" si="0"/>
        <v>636.36363636363637</v>
      </c>
      <c r="I17" s="5">
        <f t="shared" si="1"/>
        <v>6.0000000000000001E-3</v>
      </c>
    </row>
    <row r="18" spans="1:9" ht="15.75">
      <c r="A18" s="257"/>
      <c r="B18" s="178">
        <v>4</v>
      </c>
      <c r="C18" s="179" t="s">
        <v>81</v>
      </c>
      <c r="D18" s="178" t="s">
        <v>82</v>
      </c>
      <c r="E18" s="180">
        <v>5.0000000000000001E-3</v>
      </c>
      <c r="F18" s="39">
        <f>VLOOKUP(C18,[1]VL!$B$3:$F$523,5,0)</f>
        <v>9090.9090909090901</v>
      </c>
      <c r="G18" s="231">
        <f t="shared" si="0"/>
        <v>45.454545454545453</v>
      </c>
      <c r="I18" s="5">
        <f t="shared" si="1"/>
        <v>2.4E-2</v>
      </c>
    </row>
    <row r="19" spans="1:9" ht="15.75">
      <c r="A19" s="257"/>
      <c r="B19" s="178">
        <v>5</v>
      </c>
      <c r="C19" s="179" t="s">
        <v>278</v>
      </c>
      <c r="D19" s="178" t="s">
        <v>279</v>
      </c>
      <c r="E19" s="180">
        <v>0.02</v>
      </c>
      <c r="F19" s="39">
        <f>VLOOKUP(C19,[1]VL!$B$3:$F$523,5,0)</f>
        <v>63636.363636363632</v>
      </c>
      <c r="G19" s="231">
        <f t="shared" si="0"/>
        <v>1272.7272727272727</v>
      </c>
      <c r="I19" s="5">
        <f t="shared" si="1"/>
        <v>0</v>
      </c>
    </row>
    <row r="20" spans="1:9" s="103" customFormat="1" ht="18.75">
      <c r="A20" s="257">
        <v>3</v>
      </c>
      <c r="B20" s="182" t="s">
        <v>260</v>
      </c>
      <c r="C20" s="183" t="s">
        <v>332</v>
      </c>
      <c r="D20" s="175"/>
      <c r="E20" s="176"/>
      <c r="F20" s="185"/>
      <c r="G20" s="185">
        <f>SUM(G21:G27)*1.08</f>
        <v>2719.6363636363635</v>
      </c>
      <c r="I20" s="5">
        <f t="shared" si="1"/>
        <v>0.6</v>
      </c>
    </row>
    <row r="21" spans="1:9" ht="15.75">
      <c r="A21" s="257"/>
      <c r="B21" s="178">
        <v>1</v>
      </c>
      <c r="C21" s="179" t="s">
        <v>274</v>
      </c>
      <c r="D21" s="178" t="s">
        <v>275</v>
      </c>
      <c r="E21" s="180">
        <v>0.5</v>
      </c>
      <c r="F21" s="39">
        <f>VLOOKUP(C21,[1]VL!$B$3:$F$523,5,0)</f>
        <v>254.54545454545453</v>
      </c>
      <c r="G21" s="231">
        <f t="shared" si="0"/>
        <v>127.27272727272727</v>
      </c>
      <c r="I21" s="5">
        <f t="shared" si="1"/>
        <v>6.0000000000000001E-3</v>
      </c>
    </row>
    <row r="22" spans="1:9" ht="15.75">
      <c r="A22" s="257"/>
      <c r="B22" s="178">
        <v>2</v>
      </c>
      <c r="C22" s="179" t="s">
        <v>81</v>
      </c>
      <c r="D22" s="178" t="s">
        <v>82</v>
      </c>
      <c r="E22" s="180">
        <v>5.0000000000000001E-3</v>
      </c>
      <c r="F22" s="39">
        <f>VLOOKUP(C22,[1]VL!$B$3:$F$523,5,0)</f>
        <v>9090.9090909090901</v>
      </c>
      <c r="G22" s="231">
        <f t="shared" si="0"/>
        <v>45.454545454545453</v>
      </c>
      <c r="I22" s="5">
        <f t="shared" si="1"/>
        <v>1.2E-2</v>
      </c>
    </row>
    <row r="23" spans="1:9" ht="15.75">
      <c r="A23" s="257"/>
      <c r="B23" s="178">
        <v>3</v>
      </c>
      <c r="C23" s="179" t="s">
        <v>86</v>
      </c>
      <c r="D23" s="178" t="s">
        <v>98</v>
      </c>
      <c r="E23" s="180">
        <v>0.01</v>
      </c>
      <c r="F23" s="39">
        <f>VLOOKUP(C23,[1]VL!$B$3:$F$523,5,0)</f>
        <v>36363.63636363636</v>
      </c>
      <c r="G23" s="231">
        <f t="shared" si="0"/>
        <v>363.63636363636363</v>
      </c>
      <c r="I23" s="5">
        <f t="shared" si="1"/>
        <v>2.4E-2</v>
      </c>
    </row>
    <row r="24" spans="1:9" ht="15.75">
      <c r="A24" s="257"/>
      <c r="B24" s="178">
        <v>4</v>
      </c>
      <c r="C24" s="179" t="s">
        <v>276</v>
      </c>
      <c r="D24" s="178" t="s">
        <v>98</v>
      </c>
      <c r="E24" s="180">
        <v>0.02</v>
      </c>
      <c r="F24" s="39">
        <f>VLOOKUP(C24,[1]VL!$B$3:$F$523,5,0)</f>
        <v>1818.181818181818</v>
      </c>
      <c r="G24" s="231">
        <f t="shared" si="0"/>
        <v>36.36363636363636</v>
      </c>
      <c r="I24" s="5">
        <f t="shared" si="1"/>
        <v>2.4E-2</v>
      </c>
    </row>
    <row r="25" spans="1:9" ht="15.75">
      <c r="A25" s="257"/>
      <c r="B25" s="178">
        <v>5</v>
      </c>
      <c r="C25" s="179" t="s">
        <v>277</v>
      </c>
      <c r="D25" s="178" t="s">
        <v>98</v>
      </c>
      <c r="E25" s="180">
        <v>0.02</v>
      </c>
      <c r="F25" s="39">
        <f>VLOOKUP(C25,[1]VL!$B$3:$F$523,5,0)</f>
        <v>1818.181818181818</v>
      </c>
      <c r="G25" s="231">
        <f t="shared" si="0"/>
        <v>36.36363636363636</v>
      </c>
      <c r="I25" s="5">
        <f t="shared" si="1"/>
        <v>24</v>
      </c>
    </row>
    <row r="26" spans="1:9" ht="15.75">
      <c r="A26" s="257"/>
      <c r="B26" s="178">
        <v>6</v>
      </c>
      <c r="C26" s="191" t="s">
        <v>79</v>
      </c>
      <c r="D26" s="186" t="s">
        <v>80</v>
      </c>
      <c r="E26" s="180">
        <v>20</v>
      </c>
      <c r="F26" s="39">
        <f>VLOOKUP(C26,[1]VL!$B$3:$F$523,5,0)</f>
        <v>31.818181818181817</v>
      </c>
      <c r="G26" s="231">
        <f t="shared" si="0"/>
        <v>636.36363636363637</v>
      </c>
      <c r="I26" s="5">
        <f t="shared" si="1"/>
        <v>2.4E-2</v>
      </c>
    </row>
    <row r="27" spans="1:9" ht="15.75">
      <c r="A27" s="257"/>
      <c r="B27" s="178">
        <v>7</v>
      </c>
      <c r="C27" s="179" t="s">
        <v>278</v>
      </c>
      <c r="D27" s="178" t="s">
        <v>279</v>
      </c>
      <c r="E27" s="180">
        <v>0.02</v>
      </c>
      <c r="F27" s="39">
        <f>VLOOKUP(C27,[1]VL!$B$3:$F$523,5,0)</f>
        <v>63636.363636363632</v>
      </c>
      <c r="G27" s="231">
        <f t="shared" si="0"/>
        <v>1272.7272727272727</v>
      </c>
      <c r="I27" s="5">
        <f t="shared" si="1"/>
        <v>0</v>
      </c>
    </row>
    <row r="28" spans="1:9" ht="15.75">
      <c r="A28" s="257">
        <v>4</v>
      </c>
      <c r="B28" s="255" t="s">
        <v>261</v>
      </c>
      <c r="C28" s="258" t="s">
        <v>5</v>
      </c>
      <c r="D28" s="353" t="s">
        <v>270</v>
      </c>
      <c r="E28" s="354"/>
      <c r="F28" s="355"/>
      <c r="G28" s="232">
        <f>G20</f>
        <v>2719.6363636363635</v>
      </c>
      <c r="I28" s="5">
        <f t="shared" si="1"/>
        <v>0</v>
      </c>
    </row>
    <row r="29" spans="1:9" ht="18.75">
      <c r="A29" s="254">
        <v>5</v>
      </c>
      <c r="B29" s="255" t="s">
        <v>262</v>
      </c>
      <c r="C29" s="256" t="s">
        <v>437</v>
      </c>
      <c r="D29" s="353" t="s">
        <v>270</v>
      </c>
      <c r="E29" s="354"/>
      <c r="F29" s="355"/>
      <c r="G29" s="232">
        <f>G20</f>
        <v>2719.6363636363635</v>
      </c>
      <c r="I29" s="5">
        <f t="shared" si="1"/>
        <v>0</v>
      </c>
    </row>
    <row r="30" spans="1:9" ht="15.75">
      <c r="A30" s="257">
        <v>6</v>
      </c>
      <c r="B30" s="241" t="s">
        <v>384</v>
      </c>
      <c r="C30" s="249" t="s">
        <v>438</v>
      </c>
      <c r="D30" s="353" t="s">
        <v>270</v>
      </c>
      <c r="E30" s="354"/>
      <c r="F30" s="355"/>
      <c r="G30" s="232">
        <f>G20</f>
        <v>2719.6363636363635</v>
      </c>
      <c r="I30" s="5">
        <f t="shared" si="1"/>
        <v>0</v>
      </c>
    </row>
    <row r="31" spans="1:9" ht="15.75">
      <c r="A31" s="257">
        <v>7</v>
      </c>
      <c r="B31" s="241" t="s">
        <v>385</v>
      </c>
      <c r="C31" s="249" t="s">
        <v>439</v>
      </c>
      <c r="D31" s="353" t="s">
        <v>270</v>
      </c>
      <c r="E31" s="354"/>
      <c r="F31" s="355"/>
      <c r="G31" s="232">
        <f>G30</f>
        <v>2719.6363636363635</v>
      </c>
      <c r="I31" s="5">
        <f t="shared" si="1"/>
        <v>0</v>
      </c>
    </row>
    <row r="32" spans="1:9" ht="15.75">
      <c r="A32" s="254">
        <v>8</v>
      </c>
      <c r="B32" s="241" t="s">
        <v>388</v>
      </c>
      <c r="C32" s="249" t="s">
        <v>241</v>
      </c>
      <c r="D32" s="353" t="s">
        <v>270</v>
      </c>
      <c r="E32" s="354"/>
      <c r="F32" s="355"/>
      <c r="G32" s="232">
        <f>G20</f>
        <v>2719.6363636363635</v>
      </c>
      <c r="I32" s="5">
        <f t="shared" si="1"/>
        <v>0</v>
      </c>
    </row>
    <row r="33" spans="1:9" ht="15.75">
      <c r="A33" s="257">
        <v>9</v>
      </c>
      <c r="B33" s="241" t="s">
        <v>389</v>
      </c>
      <c r="C33" s="249" t="s">
        <v>240</v>
      </c>
      <c r="D33" s="353" t="s">
        <v>270</v>
      </c>
      <c r="E33" s="354"/>
      <c r="F33" s="355"/>
      <c r="G33" s="232">
        <f>G32</f>
        <v>2719.6363636363635</v>
      </c>
      <c r="I33" s="5">
        <f t="shared" si="1"/>
        <v>0</v>
      </c>
    </row>
    <row r="34" spans="1:9" ht="15.75">
      <c r="A34" s="257">
        <v>10</v>
      </c>
      <c r="B34" s="241" t="s">
        <v>391</v>
      </c>
      <c r="C34" s="249" t="s">
        <v>390</v>
      </c>
      <c r="D34" s="353" t="s">
        <v>270</v>
      </c>
      <c r="E34" s="354"/>
      <c r="F34" s="355"/>
      <c r="G34" s="232">
        <f>G33</f>
        <v>2719.6363636363635</v>
      </c>
      <c r="I34" s="5">
        <f t="shared" si="1"/>
        <v>0</v>
      </c>
    </row>
    <row r="35" spans="1:9" ht="15.75">
      <c r="A35" s="254">
        <v>11</v>
      </c>
      <c r="B35" s="241" t="s">
        <v>392</v>
      </c>
      <c r="C35" s="249" t="s">
        <v>397</v>
      </c>
      <c r="D35" s="353" t="s">
        <v>270</v>
      </c>
      <c r="E35" s="354"/>
      <c r="F35" s="355"/>
      <c r="G35" s="232">
        <f>G33</f>
        <v>2719.6363636363635</v>
      </c>
      <c r="I35" s="5">
        <f t="shared" si="1"/>
        <v>0</v>
      </c>
    </row>
    <row r="36" spans="1:9" ht="15.75">
      <c r="A36" s="257">
        <v>12</v>
      </c>
      <c r="B36" s="241" t="s">
        <v>393</v>
      </c>
      <c r="C36" s="249" t="s">
        <v>398</v>
      </c>
      <c r="D36" s="353" t="s">
        <v>270</v>
      </c>
      <c r="E36" s="354"/>
      <c r="F36" s="355"/>
      <c r="G36" s="232">
        <f>G33</f>
        <v>2719.6363636363635</v>
      </c>
      <c r="I36" s="5">
        <f t="shared" si="1"/>
        <v>0</v>
      </c>
    </row>
    <row r="37" spans="1:9" ht="15.75">
      <c r="A37" s="257">
        <v>13</v>
      </c>
      <c r="B37" s="241" t="s">
        <v>394</v>
      </c>
      <c r="C37" s="249" t="s">
        <v>405</v>
      </c>
      <c r="D37" s="353" t="s">
        <v>270</v>
      </c>
      <c r="E37" s="354"/>
      <c r="F37" s="355"/>
      <c r="G37" s="232">
        <f>G33</f>
        <v>2719.6363636363635</v>
      </c>
      <c r="I37" s="5">
        <f t="shared" si="1"/>
        <v>0</v>
      </c>
    </row>
    <row r="38" spans="1:9" ht="15.75">
      <c r="A38" s="254">
        <v>14</v>
      </c>
      <c r="B38" s="241" t="s">
        <v>407</v>
      </c>
      <c r="C38" s="249" t="s">
        <v>399</v>
      </c>
      <c r="D38" s="353" t="s">
        <v>270</v>
      </c>
      <c r="E38" s="354"/>
      <c r="F38" s="355"/>
      <c r="G38" s="232">
        <f>G33</f>
        <v>2719.6363636363635</v>
      </c>
      <c r="I38" s="5">
        <f t="shared" si="1"/>
        <v>0</v>
      </c>
    </row>
    <row r="39" spans="1:9" ht="15.75">
      <c r="A39" s="257">
        <v>15</v>
      </c>
      <c r="B39" s="241" t="s">
        <v>395</v>
      </c>
      <c r="C39" s="249" t="s">
        <v>401</v>
      </c>
      <c r="D39" s="353" t="s">
        <v>270</v>
      </c>
      <c r="E39" s="354"/>
      <c r="F39" s="355"/>
      <c r="G39" s="232">
        <f>G33</f>
        <v>2719.6363636363635</v>
      </c>
      <c r="I39" s="5">
        <f t="shared" si="1"/>
        <v>0</v>
      </c>
    </row>
    <row r="40" spans="1:9" ht="15.75">
      <c r="A40" s="257">
        <v>16</v>
      </c>
      <c r="B40" s="241" t="s">
        <v>396</v>
      </c>
      <c r="C40" s="249" t="s">
        <v>400</v>
      </c>
      <c r="D40" s="353" t="s">
        <v>270</v>
      </c>
      <c r="E40" s="354"/>
      <c r="F40" s="355"/>
      <c r="G40" s="232">
        <f>G33</f>
        <v>2719.6363636363635</v>
      </c>
      <c r="I40" s="5">
        <f t="shared" si="1"/>
        <v>0</v>
      </c>
    </row>
    <row r="41" spans="1:9" ht="15.75">
      <c r="A41" s="254">
        <v>17</v>
      </c>
      <c r="B41" s="241" t="s">
        <v>408</v>
      </c>
      <c r="C41" s="249" t="s">
        <v>402</v>
      </c>
      <c r="D41" s="353" t="s">
        <v>270</v>
      </c>
      <c r="E41" s="354"/>
      <c r="F41" s="355"/>
      <c r="G41" s="232">
        <f>G33</f>
        <v>2719.6363636363635</v>
      </c>
      <c r="I41" s="5">
        <f t="shared" si="1"/>
        <v>0</v>
      </c>
    </row>
    <row r="42" spans="1:9" ht="15.75">
      <c r="A42" s="257">
        <v>18</v>
      </c>
      <c r="B42" s="241" t="s">
        <v>409</v>
      </c>
      <c r="C42" s="249" t="s">
        <v>403</v>
      </c>
      <c r="D42" s="353" t="s">
        <v>270</v>
      </c>
      <c r="E42" s="354"/>
      <c r="F42" s="355"/>
      <c r="G42" s="232">
        <f>G33</f>
        <v>2719.6363636363635</v>
      </c>
      <c r="I42" s="5">
        <f t="shared" si="1"/>
        <v>0</v>
      </c>
    </row>
    <row r="43" spans="1:9" ht="15.75">
      <c r="A43" s="257">
        <v>19</v>
      </c>
      <c r="B43" s="241" t="s">
        <v>410</v>
      </c>
      <c r="C43" s="249" t="s">
        <v>404</v>
      </c>
      <c r="D43" s="353" t="s">
        <v>270</v>
      </c>
      <c r="E43" s="354"/>
      <c r="F43" s="355"/>
      <c r="G43" s="232">
        <f>G33</f>
        <v>2719.6363636363635</v>
      </c>
      <c r="I43" s="5">
        <f t="shared" si="1"/>
        <v>0</v>
      </c>
    </row>
    <row r="44" spans="1:9" ht="15.75">
      <c r="A44" s="254">
        <v>20</v>
      </c>
      <c r="B44" s="241" t="s">
        <v>411</v>
      </c>
      <c r="C44" s="249" t="s">
        <v>406</v>
      </c>
      <c r="D44" s="353" t="s">
        <v>270</v>
      </c>
      <c r="E44" s="354"/>
      <c r="F44" s="355"/>
      <c r="G44" s="232">
        <f>G33</f>
        <v>2719.6363636363635</v>
      </c>
      <c r="I44" s="5">
        <f t="shared" si="1"/>
        <v>0</v>
      </c>
    </row>
    <row r="45" spans="1:9" ht="15.75">
      <c r="A45" s="257">
        <v>21</v>
      </c>
      <c r="B45" s="241" t="s">
        <v>434</v>
      </c>
      <c r="C45" s="249" t="s">
        <v>433</v>
      </c>
      <c r="D45" s="353" t="s">
        <v>270</v>
      </c>
      <c r="E45" s="354"/>
      <c r="F45" s="355"/>
      <c r="G45" s="232">
        <f>G34</f>
        <v>2719.6363636363635</v>
      </c>
      <c r="I45" s="5">
        <f t="shared" si="1"/>
        <v>0</v>
      </c>
    </row>
    <row r="46" spans="1:9" s="103" customFormat="1" ht="15.75">
      <c r="A46" s="257">
        <v>22</v>
      </c>
      <c r="B46" s="182" t="s">
        <v>263</v>
      </c>
      <c r="C46" s="183" t="s">
        <v>4</v>
      </c>
      <c r="D46" s="175"/>
      <c r="E46" s="176"/>
      <c r="F46" s="177"/>
      <c r="G46" s="185">
        <f>SUM(G47:G53)*1.08</f>
        <v>2719.6363636363635</v>
      </c>
      <c r="I46" s="5">
        <f t="shared" si="1"/>
        <v>0.6</v>
      </c>
    </row>
    <row r="47" spans="1:9" ht="15.75">
      <c r="A47" s="261"/>
      <c r="B47" s="219">
        <v>1</v>
      </c>
      <c r="C47" s="179" t="s">
        <v>274</v>
      </c>
      <c r="D47" s="178" t="s">
        <v>275</v>
      </c>
      <c r="E47" s="180">
        <v>0.5</v>
      </c>
      <c r="F47" s="39">
        <f>VLOOKUP(C47,[1]VL!$B$3:$F$523,5,0)</f>
        <v>254.54545454545453</v>
      </c>
      <c r="G47" s="231">
        <f t="shared" ref="G47:G53" si="2">F47*E47</f>
        <v>127.27272727272727</v>
      </c>
      <c r="I47" s="5">
        <f t="shared" si="1"/>
        <v>6.0000000000000001E-3</v>
      </c>
    </row>
    <row r="48" spans="1:9" ht="15.75">
      <c r="A48" s="261"/>
      <c r="B48" s="178">
        <v>2</v>
      </c>
      <c r="C48" s="179" t="s">
        <v>81</v>
      </c>
      <c r="D48" s="178" t="s">
        <v>82</v>
      </c>
      <c r="E48" s="180">
        <v>5.0000000000000001E-3</v>
      </c>
      <c r="F48" s="39">
        <f>VLOOKUP(C48,[1]VL!$B$3:$F$523,5,0)</f>
        <v>9090.9090909090901</v>
      </c>
      <c r="G48" s="231">
        <f t="shared" si="2"/>
        <v>45.454545454545453</v>
      </c>
      <c r="I48" s="5">
        <f t="shared" si="1"/>
        <v>1.2E-2</v>
      </c>
    </row>
    <row r="49" spans="1:9" ht="15.75">
      <c r="A49" s="261"/>
      <c r="B49" s="178">
        <v>3</v>
      </c>
      <c r="C49" s="179" t="s">
        <v>86</v>
      </c>
      <c r="D49" s="178" t="s">
        <v>98</v>
      </c>
      <c r="E49" s="180">
        <v>0.01</v>
      </c>
      <c r="F49" s="39">
        <f>VLOOKUP(C49,[1]VL!$B$3:$F$523,5,0)</f>
        <v>36363.63636363636</v>
      </c>
      <c r="G49" s="231">
        <f t="shared" si="2"/>
        <v>363.63636363636363</v>
      </c>
      <c r="I49" s="5">
        <f t="shared" si="1"/>
        <v>2.4E-2</v>
      </c>
    </row>
    <row r="50" spans="1:9" ht="15.75">
      <c r="A50" s="261"/>
      <c r="B50" s="178">
        <v>4</v>
      </c>
      <c r="C50" s="179" t="s">
        <v>276</v>
      </c>
      <c r="D50" s="178" t="s">
        <v>98</v>
      </c>
      <c r="E50" s="180">
        <v>0.02</v>
      </c>
      <c r="F50" s="39">
        <f>VLOOKUP(C50,[1]VL!$B$3:$F$523,5,0)</f>
        <v>1818.181818181818</v>
      </c>
      <c r="G50" s="231">
        <f t="shared" si="2"/>
        <v>36.36363636363636</v>
      </c>
      <c r="I50" s="5">
        <f t="shared" si="1"/>
        <v>2.4E-2</v>
      </c>
    </row>
    <row r="51" spans="1:9" ht="15.75">
      <c r="A51" s="261"/>
      <c r="B51" s="178">
        <v>5</v>
      </c>
      <c r="C51" s="179" t="s">
        <v>277</v>
      </c>
      <c r="D51" s="178" t="s">
        <v>98</v>
      </c>
      <c r="E51" s="180">
        <v>0.02</v>
      </c>
      <c r="F51" s="39">
        <f>VLOOKUP(C51,[1]VL!$B$3:$F$523,5,0)</f>
        <v>1818.181818181818</v>
      </c>
      <c r="G51" s="231">
        <f t="shared" si="2"/>
        <v>36.36363636363636</v>
      </c>
      <c r="I51" s="5">
        <f t="shared" si="1"/>
        <v>24</v>
      </c>
    </row>
    <row r="52" spans="1:9" ht="15.75">
      <c r="A52" s="261"/>
      <c r="B52" s="178">
        <v>6</v>
      </c>
      <c r="C52" s="191" t="s">
        <v>79</v>
      </c>
      <c r="D52" s="186" t="s">
        <v>80</v>
      </c>
      <c r="E52" s="180">
        <v>20</v>
      </c>
      <c r="F52" s="39">
        <f>VLOOKUP(C52,[1]VL!$B$3:$F$523,5,0)</f>
        <v>31.818181818181817</v>
      </c>
      <c r="G52" s="231">
        <f t="shared" si="2"/>
        <v>636.36363636363637</v>
      </c>
      <c r="I52" s="5">
        <f t="shared" si="1"/>
        <v>2.4E-2</v>
      </c>
    </row>
    <row r="53" spans="1:9" ht="15.75">
      <c r="A53" s="261"/>
      <c r="B53" s="178">
        <v>7</v>
      </c>
      <c r="C53" s="179" t="s">
        <v>278</v>
      </c>
      <c r="D53" s="178" t="s">
        <v>279</v>
      </c>
      <c r="E53" s="180">
        <v>0.02</v>
      </c>
      <c r="F53" s="39">
        <f>VLOOKUP(C53,[1]VL!$B$3:$F$523,5,0)</f>
        <v>63636.363636363632</v>
      </c>
      <c r="G53" s="231">
        <f t="shared" si="2"/>
        <v>1272.7272727272727</v>
      </c>
      <c r="I53" s="5">
        <f t="shared" si="1"/>
        <v>0</v>
      </c>
    </row>
    <row r="54" spans="1:9" ht="15.75">
      <c r="A54" s="254">
        <v>23</v>
      </c>
      <c r="B54" s="255" t="s">
        <v>264</v>
      </c>
      <c r="C54" s="256" t="s">
        <v>6</v>
      </c>
      <c r="D54" s="353" t="s">
        <v>270</v>
      </c>
      <c r="E54" s="354"/>
      <c r="F54" s="355"/>
      <c r="G54" s="232">
        <f>G46</f>
        <v>2719.6363636363635</v>
      </c>
      <c r="I54" s="5">
        <f t="shared" si="1"/>
        <v>0</v>
      </c>
    </row>
    <row r="55" spans="1:9" ht="15.75">
      <c r="A55" s="257">
        <v>24</v>
      </c>
      <c r="B55" s="255" t="s">
        <v>322</v>
      </c>
      <c r="C55" s="258" t="s">
        <v>7</v>
      </c>
      <c r="D55" s="353" t="s">
        <v>270</v>
      </c>
      <c r="E55" s="354"/>
      <c r="F55" s="355"/>
      <c r="G55" s="232">
        <f>G46</f>
        <v>2719.6363636363635</v>
      </c>
      <c r="I55" s="5">
        <f t="shared" si="1"/>
        <v>0</v>
      </c>
    </row>
    <row r="56" spans="1:9" ht="15.75">
      <c r="A56" s="257">
        <v>25</v>
      </c>
      <c r="B56" s="255" t="s">
        <v>321</v>
      </c>
      <c r="C56" s="258" t="s">
        <v>8</v>
      </c>
      <c r="D56" s="353" t="s">
        <v>270</v>
      </c>
      <c r="E56" s="354"/>
      <c r="F56" s="355"/>
      <c r="G56" s="232">
        <f>G46</f>
        <v>2719.6363636363635</v>
      </c>
      <c r="I56" s="5">
        <f t="shared" si="1"/>
        <v>0</v>
      </c>
    </row>
    <row r="57" spans="1:9" ht="15.75">
      <c r="A57" s="257">
        <v>26</v>
      </c>
      <c r="B57" s="255" t="s">
        <v>323</v>
      </c>
      <c r="C57" s="258" t="s">
        <v>231</v>
      </c>
      <c r="D57" s="353" t="s">
        <v>270</v>
      </c>
      <c r="E57" s="354"/>
      <c r="F57" s="355"/>
      <c r="G57" s="232">
        <f>G46</f>
        <v>2719.6363636363635</v>
      </c>
      <c r="I57" s="5">
        <f t="shared" si="1"/>
        <v>0</v>
      </c>
    </row>
    <row r="58" spans="1:9" ht="15.75">
      <c r="A58" s="257">
        <v>27</v>
      </c>
      <c r="B58" s="255" t="s">
        <v>324</v>
      </c>
      <c r="C58" s="258" t="s">
        <v>9</v>
      </c>
      <c r="D58" s="353" t="s">
        <v>270</v>
      </c>
      <c r="E58" s="354"/>
      <c r="F58" s="355"/>
      <c r="G58" s="232">
        <f>G46</f>
        <v>2719.6363636363635</v>
      </c>
      <c r="I58" s="5">
        <f t="shared" si="1"/>
        <v>0</v>
      </c>
    </row>
    <row r="59" spans="1:9" ht="31.5">
      <c r="A59" s="254">
        <v>28</v>
      </c>
      <c r="B59" s="255" t="s">
        <v>265</v>
      </c>
      <c r="C59" s="256" t="s">
        <v>143</v>
      </c>
      <c r="D59" s="353" t="s">
        <v>270</v>
      </c>
      <c r="E59" s="354"/>
      <c r="F59" s="355"/>
      <c r="G59" s="232">
        <f>G46</f>
        <v>2719.6363636363635</v>
      </c>
      <c r="I59" s="5">
        <f t="shared" si="1"/>
        <v>0</v>
      </c>
    </row>
    <row r="60" spans="1:9" ht="18" customHeight="1">
      <c r="A60" s="169" t="s">
        <v>214</v>
      </c>
      <c r="B60" s="369" t="s">
        <v>353</v>
      </c>
      <c r="C60" s="370"/>
      <c r="D60" s="370"/>
      <c r="E60" s="370"/>
      <c r="F60" s="370"/>
      <c r="G60" s="371"/>
      <c r="I60" s="5">
        <f t="shared" si="1"/>
        <v>0</v>
      </c>
    </row>
    <row r="61" spans="1:9" ht="18" customHeight="1">
      <c r="A61" s="169">
        <v>1</v>
      </c>
      <c r="B61" s="165" t="s">
        <v>318</v>
      </c>
      <c r="C61" s="166" t="s">
        <v>216</v>
      </c>
      <c r="D61" s="186"/>
      <c r="E61" s="187"/>
      <c r="F61" s="181"/>
      <c r="G61" s="188">
        <f>SUM(G62:G65)*1.08</f>
        <v>10603.636363636364</v>
      </c>
      <c r="I61" s="5">
        <f t="shared" si="1"/>
        <v>12</v>
      </c>
    </row>
    <row r="62" spans="1:9" ht="18" customHeight="1">
      <c r="A62" s="169"/>
      <c r="B62" s="189">
        <v>1</v>
      </c>
      <c r="C62" s="190" t="s">
        <v>244</v>
      </c>
      <c r="D62" s="186" t="s">
        <v>78</v>
      </c>
      <c r="E62" s="187">
        <v>10</v>
      </c>
      <c r="F62" s="39">
        <f>VLOOKUP(C62,[1]VL!$B$3:$F$523,5,0)</f>
        <v>909.09090909090901</v>
      </c>
      <c r="G62" s="231">
        <f t="shared" ref="G62:G65" si="3">F62*E62</f>
        <v>9090.9090909090901</v>
      </c>
      <c r="I62" s="5">
        <f t="shared" si="1"/>
        <v>12</v>
      </c>
    </row>
    <row r="63" spans="1:9" ht="18" customHeight="1">
      <c r="A63" s="169"/>
      <c r="B63" s="189">
        <v>2</v>
      </c>
      <c r="C63" s="191" t="s">
        <v>79</v>
      </c>
      <c r="D63" s="186" t="s">
        <v>80</v>
      </c>
      <c r="E63" s="187">
        <v>10</v>
      </c>
      <c r="F63" s="39">
        <f>VLOOKUP(C63,[1]VL!$B$3:$F$523,5,0)</f>
        <v>31.818181818181817</v>
      </c>
      <c r="G63" s="231">
        <f t="shared" si="3"/>
        <v>318.18181818181819</v>
      </c>
      <c r="I63" s="5">
        <f t="shared" si="1"/>
        <v>6.0000000000000001E-3</v>
      </c>
    </row>
    <row r="64" spans="1:9" ht="18" customHeight="1">
      <c r="A64" s="169"/>
      <c r="B64" s="189">
        <v>3</v>
      </c>
      <c r="C64" s="191" t="s">
        <v>81</v>
      </c>
      <c r="D64" s="186" t="s">
        <v>82</v>
      </c>
      <c r="E64" s="187">
        <v>5.0000000000000001E-3</v>
      </c>
      <c r="F64" s="39">
        <f>VLOOKUP(C64,[1]VL!$B$3:$F$523,5,0)</f>
        <v>9090.9090909090901</v>
      </c>
      <c r="G64" s="231">
        <f t="shared" si="3"/>
        <v>45.454545454545453</v>
      </c>
      <c r="I64" s="5">
        <f t="shared" si="1"/>
        <v>1.2E-2</v>
      </c>
    </row>
    <row r="65" spans="1:9" ht="18" customHeight="1">
      <c r="A65" s="169"/>
      <c r="B65" s="189">
        <v>4</v>
      </c>
      <c r="C65" s="191" t="s">
        <v>86</v>
      </c>
      <c r="D65" s="186" t="s">
        <v>49</v>
      </c>
      <c r="E65" s="187">
        <v>0.01</v>
      </c>
      <c r="F65" s="39">
        <f>VLOOKUP(C65,[1]VL!$B$3:$F$523,5,0)</f>
        <v>36363.63636363636</v>
      </c>
      <c r="G65" s="231">
        <f t="shared" si="3"/>
        <v>363.63636363636363</v>
      </c>
      <c r="I65" s="5">
        <f t="shared" si="1"/>
        <v>0</v>
      </c>
    </row>
    <row r="66" spans="1:9" ht="18" customHeight="1">
      <c r="A66" s="169">
        <v>2</v>
      </c>
      <c r="B66" s="165" t="s">
        <v>316</v>
      </c>
      <c r="C66" s="192" t="s">
        <v>218</v>
      </c>
      <c r="D66" s="193"/>
      <c r="E66" s="194"/>
      <c r="F66" s="195"/>
      <c r="G66" s="188">
        <f>SUM(G67:G74)*1.08</f>
        <v>17511.709090909095</v>
      </c>
      <c r="I66" s="5">
        <f t="shared" si="1"/>
        <v>4.8</v>
      </c>
    </row>
    <row r="67" spans="1:9" ht="18" customHeight="1">
      <c r="A67" s="169"/>
      <c r="B67" s="189">
        <v>1</v>
      </c>
      <c r="C67" s="191" t="s">
        <v>468</v>
      </c>
      <c r="D67" s="186" t="s">
        <v>80</v>
      </c>
      <c r="E67" s="187">
        <v>4</v>
      </c>
      <c r="F67" s="39">
        <f>VLOOKUP(C67,[1]VL!$B$3:$F$523,5,0)</f>
        <v>499.99999999999994</v>
      </c>
      <c r="G67" s="231">
        <f t="shared" ref="G67:G74" si="4">F67*E67</f>
        <v>1999.9999999999998</v>
      </c>
      <c r="I67" s="5">
        <f t="shared" si="1"/>
        <v>0.24</v>
      </c>
    </row>
    <row r="68" spans="1:9" ht="18" customHeight="1">
      <c r="A68" s="169"/>
      <c r="B68" s="189">
        <v>2</v>
      </c>
      <c r="C68" s="191" t="s">
        <v>83</v>
      </c>
      <c r="D68" s="186" t="s">
        <v>78</v>
      </c>
      <c r="E68" s="187">
        <v>0.2</v>
      </c>
      <c r="F68" s="39">
        <f>VLOOKUP(C68,[1]VL!$B$3:$F$523,5,0)</f>
        <v>890.90909090909088</v>
      </c>
      <c r="G68" s="231">
        <f t="shared" si="4"/>
        <v>178.18181818181819</v>
      </c>
      <c r="I68" s="5">
        <f t="shared" si="1"/>
        <v>9.6000000000000002E-2</v>
      </c>
    </row>
    <row r="69" spans="1:9" ht="18" customHeight="1">
      <c r="A69" s="169"/>
      <c r="B69" s="189">
        <v>3</v>
      </c>
      <c r="C69" s="105" t="s">
        <v>246</v>
      </c>
      <c r="D69" s="186" t="s">
        <v>49</v>
      </c>
      <c r="E69" s="187">
        <v>0.08</v>
      </c>
      <c r="F69" s="39">
        <f>VLOOKUP(C69,[1]VL!$B$3:$F$523,5,0)</f>
        <v>5000</v>
      </c>
      <c r="G69" s="231">
        <f>F69*E69</f>
        <v>400</v>
      </c>
      <c r="I69" s="5">
        <f t="shared" si="1"/>
        <v>0.48</v>
      </c>
    </row>
    <row r="70" spans="1:9" ht="18" customHeight="1">
      <c r="A70" s="169"/>
      <c r="B70" s="189">
        <v>4</v>
      </c>
      <c r="C70" s="105" t="s">
        <v>245</v>
      </c>
      <c r="D70" s="186" t="s">
        <v>80</v>
      </c>
      <c r="E70" s="187">
        <v>0.4</v>
      </c>
      <c r="F70" s="39">
        <f>VLOOKUP(C70,[1]VL!$B$3:$F$523,5,0)</f>
        <v>5000</v>
      </c>
      <c r="G70" s="231">
        <f t="shared" si="4"/>
        <v>2000</v>
      </c>
      <c r="I70" s="5">
        <f t="shared" si="1"/>
        <v>12</v>
      </c>
    </row>
    <row r="71" spans="1:9" ht="18" customHeight="1">
      <c r="A71" s="169"/>
      <c r="B71" s="189">
        <v>5</v>
      </c>
      <c r="C71" s="191" t="s">
        <v>79</v>
      </c>
      <c r="D71" s="186" t="s">
        <v>80</v>
      </c>
      <c r="E71" s="187">
        <v>10</v>
      </c>
      <c r="F71" s="39">
        <f>VLOOKUP(C71,[1]VL!$B$3:$F$523,5,0)</f>
        <v>31.818181818181817</v>
      </c>
      <c r="G71" s="231">
        <f t="shared" si="4"/>
        <v>318.18181818181819</v>
      </c>
      <c r="I71" s="5">
        <f t="shared" ref="I71:I134" si="5">E72*1.2</f>
        <v>0.12</v>
      </c>
    </row>
    <row r="72" spans="1:9" ht="18" customHeight="1">
      <c r="A72" s="169"/>
      <c r="B72" s="189">
        <v>6</v>
      </c>
      <c r="C72" s="191" t="s">
        <v>87</v>
      </c>
      <c r="D72" s="186" t="s">
        <v>49</v>
      </c>
      <c r="E72" s="187">
        <v>0.1</v>
      </c>
      <c r="F72" s="39">
        <f>VLOOKUP(C72,[1]VL!$B$3:$F$523,5,0)</f>
        <v>109090.90909090909</v>
      </c>
      <c r="G72" s="231">
        <f t="shared" si="4"/>
        <v>10909.09090909091</v>
      </c>
      <c r="I72" s="5">
        <f t="shared" si="5"/>
        <v>6.0000000000000001E-3</v>
      </c>
    </row>
    <row r="73" spans="1:9" ht="18" customHeight="1">
      <c r="A73" s="169"/>
      <c r="B73" s="189">
        <v>7</v>
      </c>
      <c r="C73" s="191" t="s">
        <v>81</v>
      </c>
      <c r="D73" s="186" t="s">
        <v>82</v>
      </c>
      <c r="E73" s="187">
        <v>5.0000000000000001E-3</v>
      </c>
      <c r="F73" s="39">
        <f>VLOOKUP(C73,[1]VL!$B$3:$F$523,5,0)</f>
        <v>9090.9090909090901</v>
      </c>
      <c r="G73" s="231">
        <f t="shared" si="4"/>
        <v>45.454545454545453</v>
      </c>
      <c r="I73" s="5">
        <f t="shared" si="5"/>
        <v>1.2E-2</v>
      </c>
    </row>
    <row r="74" spans="1:9" ht="18" customHeight="1">
      <c r="A74" s="169"/>
      <c r="B74" s="189">
        <v>8</v>
      </c>
      <c r="C74" s="191" t="s">
        <v>86</v>
      </c>
      <c r="D74" s="186" t="s">
        <v>49</v>
      </c>
      <c r="E74" s="187">
        <v>0.01</v>
      </c>
      <c r="F74" s="39">
        <f>VLOOKUP(C74,[1]VL!$B$3:$F$523,5,0)</f>
        <v>36363.63636363636</v>
      </c>
      <c r="G74" s="231">
        <f t="shared" si="4"/>
        <v>363.63636363636363</v>
      </c>
      <c r="I74" s="5">
        <f t="shared" si="5"/>
        <v>0</v>
      </c>
    </row>
    <row r="75" spans="1:9" ht="18" customHeight="1">
      <c r="A75" s="169">
        <v>3</v>
      </c>
      <c r="B75" s="165" t="s">
        <v>317</v>
      </c>
      <c r="C75" s="196" t="s">
        <v>333</v>
      </c>
      <c r="D75" s="197"/>
      <c r="E75" s="198"/>
      <c r="F75" s="195"/>
      <c r="G75" s="188">
        <f>SUM(G76:G89)*1.08</f>
        <v>130407.05454545456</v>
      </c>
      <c r="I75" s="5">
        <f t="shared" si="5"/>
        <v>1.2</v>
      </c>
    </row>
    <row r="76" spans="1:9" ht="18" customHeight="1">
      <c r="A76" s="169"/>
      <c r="B76" s="189">
        <v>1</v>
      </c>
      <c r="C76" s="199" t="s">
        <v>83</v>
      </c>
      <c r="D76" s="186" t="s">
        <v>95</v>
      </c>
      <c r="E76" s="200">
        <v>1</v>
      </c>
      <c r="F76" s="39">
        <f>VLOOKUP(C76,[1]VL!$B$3:$F$523,5,0)</f>
        <v>890.90909090909088</v>
      </c>
      <c r="G76" s="231">
        <f t="shared" ref="G76:G89" si="6">F76*E76</f>
        <v>890.90909090909088</v>
      </c>
      <c r="I76" s="5">
        <f t="shared" si="5"/>
        <v>30</v>
      </c>
    </row>
    <row r="77" spans="1:9" ht="18" customHeight="1">
      <c r="A77" s="169"/>
      <c r="B77" s="189">
        <v>2</v>
      </c>
      <c r="C77" s="199" t="s">
        <v>181</v>
      </c>
      <c r="D77" s="186" t="s">
        <v>96</v>
      </c>
      <c r="E77" s="200">
        <v>25</v>
      </c>
      <c r="F77" s="39">
        <f>VLOOKUP(C77,[1]VL!$B$3:$F$523,5,0)</f>
        <v>454.5454545454545</v>
      </c>
      <c r="G77" s="231">
        <f t="shared" si="6"/>
        <v>11363.636363636362</v>
      </c>
      <c r="I77" s="5">
        <f t="shared" si="5"/>
        <v>12.239999999999998</v>
      </c>
    </row>
    <row r="78" spans="1:9" ht="18" customHeight="1">
      <c r="A78" s="169"/>
      <c r="B78" s="189">
        <v>3</v>
      </c>
      <c r="C78" s="199" t="s">
        <v>183</v>
      </c>
      <c r="D78" s="186" t="s">
        <v>95</v>
      </c>
      <c r="E78" s="200">
        <v>10.199999999999999</v>
      </c>
      <c r="F78" s="39">
        <f>VLOOKUP(C78,[1]VL!$B$3:$F$523,5,0)</f>
        <v>681.81818181818176</v>
      </c>
      <c r="G78" s="231">
        <f t="shared" si="6"/>
        <v>6954.5454545454531</v>
      </c>
      <c r="I78" s="5">
        <f t="shared" si="5"/>
        <v>0.96</v>
      </c>
    </row>
    <row r="79" spans="1:9" ht="18" customHeight="1">
      <c r="A79" s="169"/>
      <c r="B79" s="189">
        <v>4</v>
      </c>
      <c r="C79" s="199" t="s">
        <v>184</v>
      </c>
      <c r="D79" s="186" t="s">
        <v>95</v>
      </c>
      <c r="E79" s="200">
        <v>0.8</v>
      </c>
      <c r="F79" s="39">
        <f>VLOOKUP(C79,[1]VL!$B$3:$F$523,5,0)</f>
        <v>854.5454545454545</v>
      </c>
      <c r="G79" s="231">
        <f t="shared" si="6"/>
        <v>683.63636363636363</v>
      </c>
      <c r="I79" s="5">
        <f t="shared" si="5"/>
        <v>1.2</v>
      </c>
    </row>
    <row r="80" spans="1:9" ht="18" customHeight="1">
      <c r="A80" s="169"/>
      <c r="B80" s="189">
        <v>5</v>
      </c>
      <c r="C80" s="199" t="s">
        <v>185</v>
      </c>
      <c r="D80" s="186" t="s">
        <v>96</v>
      </c>
      <c r="E80" s="200">
        <v>1</v>
      </c>
      <c r="F80" s="39">
        <f>VLOOKUP(C80,[1]VL!$B$3:$F$523,5,0)</f>
        <v>145.45454545454544</v>
      </c>
      <c r="G80" s="231">
        <f t="shared" si="6"/>
        <v>145.45454545454544</v>
      </c>
      <c r="I80" s="5">
        <f t="shared" si="5"/>
        <v>0.24</v>
      </c>
    </row>
    <row r="81" spans="1:9" ht="18" customHeight="1">
      <c r="A81" s="169"/>
      <c r="B81" s="189">
        <v>6</v>
      </c>
      <c r="C81" s="199" t="s">
        <v>88</v>
      </c>
      <c r="D81" s="186" t="s">
        <v>95</v>
      </c>
      <c r="E81" s="200">
        <v>0.2</v>
      </c>
      <c r="F81" s="39">
        <f>VLOOKUP(C81,[1]VL!$B$3:$F$523,5,0)</f>
        <v>22727.272727272724</v>
      </c>
      <c r="G81" s="231">
        <f t="shared" si="6"/>
        <v>4545.454545454545</v>
      </c>
      <c r="I81" s="5">
        <f t="shared" si="5"/>
        <v>1.08</v>
      </c>
    </row>
    <row r="82" spans="1:9" ht="18" customHeight="1">
      <c r="A82" s="169"/>
      <c r="B82" s="189">
        <v>7</v>
      </c>
      <c r="C82" s="199" t="s">
        <v>89</v>
      </c>
      <c r="D82" s="186" t="s">
        <v>95</v>
      </c>
      <c r="E82" s="200">
        <v>0.9</v>
      </c>
      <c r="F82" s="39">
        <f>VLOOKUP(C82,[1]VL!$B$3:$F$523,5,0)</f>
        <v>29090.909090909088</v>
      </c>
      <c r="G82" s="231">
        <f t="shared" si="6"/>
        <v>26181.81818181818</v>
      </c>
      <c r="I82" s="5">
        <f t="shared" si="5"/>
        <v>1.08</v>
      </c>
    </row>
    <row r="83" spans="1:9" ht="18" customHeight="1">
      <c r="A83" s="169"/>
      <c r="B83" s="189">
        <v>8</v>
      </c>
      <c r="C83" s="191" t="s">
        <v>468</v>
      </c>
      <c r="D83" s="186" t="s">
        <v>96</v>
      </c>
      <c r="E83" s="200">
        <v>0.9</v>
      </c>
      <c r="F83" s="39">
        <f>VLOOKUP(C83,[1]VL!$B$3:$F$523,5,0)</f>
        <v>499.99999999999994</v>
      </c>
      <c r="G83" s="231">
        <f t="shared" si="6"/>
        <v>449.99999999999994</v>
      </c>
      <c r="I83" s="5">
        <f t="shared" si="5"/>
        <v>0.6</v>
      </c>
    </row>
    <row r="84" spans="1:9" ht="18" customHeight="1">
      <c r="A84" s="169"/>
      <c r="B84" s="189">
        <v>9</v>
      </c>
      <c r="C84" s="199" t="s">
        <v>97</v>
      </c>
      <c r="D84" s="186" t="s">
        <v>95</v>
      </c>
      <c r="E84" s="200">
        <v>0.5</v>
      </c>
      <c r="F84" s="39">
        <f>VLOOKUP(C84,[1]VL!$B$3:$F$523,5,0)</f>
        <v>1609.090909090909</v>
      </c>
      <c r="G84" s="231">
        <f t="shared" si="6"/>
        <v>804.5454545454545</v>
      </c>
      <c r="I84" s="5">
        <f t="shared" si="5"/>
        <v>0.6</v>
      </c>
    </row>
    <row r="85" spans="1:9" ht="18" customHeight="1">
      <c r="A85" s="169"/>
      <c r="B85" s="189">
        <v>10</v>
      </c>
      <c r="C85" s="199" t="s">
        <v>186</v>
      </c>
      <c r="D85" s="186" t="s">
        <v>95</v>
      </c>
      <c r="E85" s="200">
        <v>0.5</v>
      </c>
      <c r="F85" s="39">
        <f>VLOOKUP(C85,[1]VL!$B$3:$F$523,5,0)</f>
        <v>116363.63636363635</v>
      </c>
      <c r="G85" s="231">
        <f t="shared" si="6"/>
        <v>58181.818181818177</v>
      </c>
      <c r="I85" s="5">
        <f t="shared" si="5"/>
        <v>12</v>
      </c>
    </row>
    <row r="86" spans="1:9" ht="18" customHeight="1">
      <c r="A86" s="169"/>
      <c r="B86" s="189">
        <v>11</v>
      </c>
      <c r="C86" s="199" t="s">
        <v>79</v>
      </c>
      <c r="D86" s="186" t="s">
        <v>80</v>
      </c>
      <c r="E86" s="200">
        <v>10</v>
      </c>
      <c r="F86" s="39">
        <f>VLOOKUP(C86,[1]VL!$B$3:$F$523,5,0)</f>
        <v>31.818181818181817</v>
      </c>
      <c r="G86" s="231">
        <f t="shared" si="6"/>
        <v>318.18181818181819</v>
      </c>
      <c r="I86" s="5">
        <f t="shared" si="5"/>
        <v>3.5999999999999997E-2</v>
      </c>
    </row>
    <row r="87" spans="1:9" ht="18" customHeight="1">
      <c r="A87" s="169"/>
      <c r="B87" s="189">
        <v>12</v>
      </c>
      <c r="C87" s="227" t="s">
        <v>362</v>
      </c>
      <c r="D87" s="186" t="s">
        <v>49</v>
      </c>
      <c r="E87" s="200">
        <v>0.03</v>
      </c>
      <c r="F87" s="39">
        <f>VLOOKUP(C87,[1]VL!$B$3:$F$523,5,0)</f>
        <v>327272.72727272724</v>
      </c>
      <c r="G87" s="231">
        <f t="shared" si="6"/>
        <v>9818.1818181818162</v>
      </c>
      <c r="I87" s="5">
        <f t="shared" si="5"/>
        <v>1.2E-2</v>
      </c>
    </row>
    <row r="88" spans="1:9" ht="18" customHeight="1">
      <c r="A88" s="169"/>
      <c r="B88" s="189">
        <v>13</v>
      </c>
      <c r="C88" s="199" t="s">
        <v>86</v>
      </c>
      <c r="D88" s="186" t="s">
        <v>49</v>
      </c>
      <c r="E88" s="200">
        <v>0.01</v>
      </c>
      <c r="F88" s="39">
        <f>VLOOKUP(C88,[1]VL!$B$3:$F$523,5,0)</f>
        <v>36363.63636363636</v>
      </c>
      <c r="G88" s="231">
        <f t="shared" si="6"/>
        <v>363.63636363636363</v>
      </c>
      <c r="I88" s="5">
        <f t="shared" si="5"/>
        <v>6.0000000000000001E-3</v>
      </c>
    </row>
    <row r="89" spans="1:9" ht="18" customHeight="1">
      <c r="A89" s="169"/>
      <c r="B89" s="189">
        <v>14</v>
      </c>
      <c r="C89" s="199" t="s">
        <v>81</v>
      </c>
      <c r="D89" s="186" t="s">
        <v>82</v>
      </c>
      <c r="E89" s="187">
        <v>5.0000000000000001E-3</v>
      </c>
      <c r="F89" s="39">
        <f>VLOOKUP(C89,[1]VL!$B$3:$F$523,5,0)</f>
        <v>9090.9090909090901</v>
      </c>
      <c r="G89" s="231">
        <f t="shared" si="6"/>
        <v>45.454545454545453</v>
      </c>
      <c r="I89" s="5">
        <f t="shared" si="5"/>
        <v>0</v>
      </c>
    </row>
    <row r="90" spans="1:9" ht="18" customHeight="1">
      <c r="A90" s="169">
        <v>4</v>
      </c>
      <c r="B90" s="165" t="s">
        <v>319</v>
      </c>
      <c r="C90" s="192" t="s">
        <v>334</v>
      </c>
      <c r="D90" s="201"/>
      <c r="E90" s="188"/>
      <c r="F90" s="195"/>
      <c r="G90" s="188">
        <f>SUM(G91:G106)*1.08</f>
        <v>56101.483636363628</v>
      </c>
      <c r="I90" s="5">
        <f t="shared" si="5"/>
        <v>1.2</v>
      </c>
    </row>
    <row r="91" spans="1:9" ht="18" customHeight="1">
      <c r="A91" s="169"/>
      <c r="B91" s="189">
        <v>1</v>
      </c>
      <c r="C91" s="202" t="s">
        <v>85</v>
      </c>
      <c r="D91" s="203" t="s">
        <v>80</v>
      </c>
      <c r="E91" s="204">
        <v>1</v>
      </c>
      <c r="F91" s="39">
        <f>VLOOKUP(C91,[1]VL!$B$3:$F$523,5,0)</f>
        <v>2181.8181818181815</v>
      </c>
      <c r="G91" s="231">
        <f t="shared" ref="G91:G106" si="7">F91*E91</f>
        <v>2181.8181818181815</v>
      </c>
      <c r="I91" s="5">
        <f t="shared" si="5"/>
        <v>0.24</v>
      </c>
    </row>
    <row r="92" spans="1:9" ht="30.75" customHeight="1">
      <c r="A92" s="169"/>
      <c r="B92" s="189">
        <v>2</v>
      </c>
      <c r="C92" s="202" t="s">
        <v>335</v>
      </c>
      <c r="D92" s="203" t="s">
        <v>247</v>
      </c>
      <c r="E92" s="204">
        <v>0.2</v>
      </c>
      <c r="F92" s="39">
        <f>VLOOKUP(C92,[1]VL!$B$3:$F$523,5,0)</f>
        <v>22727.272727272724</v>
      </c>
      <c r="G92" s="231">
        <f t="shared" si="7"/>
        <v>4545.454545454545</v>
      </c>
      <c r="I92" s="5">
        <f t="shared" si="5"/>
        <v>2.4</v>
      </c>
    </row>
    <row r="93" spans="1:9" ht="18" customHeight="1">
      <c r="A93" s="169"/>
      <c r="B93" s="189">
        <v>3</v>
      </c>
      <c r="C93" s="205" t="s">
        <v>336</v>
      </c>
      <c r="D93" s="203" t="s">
        <v>248</v>
      </c>
      <c r="E93" s="204">
        <v>2</v>
      </c>
      <c r="F93" s="39">
        <f>VLOOKUP(C93,[1]VL!$B$3:$F$523,5,0)</f>
        <v>399.99999999999994</v>
      </c>
      <c r="G93" s="231">
        <f t="shared" si="7"/>
        <v>799.99999999999989</v>
      </c>
      <c r="I93" s="5">
        <f t="shared" si="5"/>
        <v>1.2</v>
      </c>
    </row>
    <row r="94" spans="1:9" ht="18" customHeight="1">
      <c r="A94" s="169"/>
      <c r="B94" s="189">
        <v>4</v>
      </c>
      <c r="C94" s="202" t="s">
        <v>337</v>
      </c>
      <c r="D94" s="203" t="s">
        <v>247</v>
      </c>
      <c r="E94" s="204">
        <v>1</v>
      </c>
      <c r="F94" s="39">
        <f>VLOOKUP(C94,[1]VL!$B$3:$F$523,5,0)</f>
        <v>1636.3636363636363</v>
      </c>
      <c r="G94" s="231">
        <f t="shared" ref="G94" si="8">F94*E94</f>
        <v>1636.3636363636363</v>
      </c>
      <c r="I94" s="5">
        <f t="shared" si="5"/>
        <v>12</v>
      </c>
    </row>
    <row r="95" spans="1:9" ht="18" customHeight="1">
      <c r="A95" s="169"/>
      <c r="B95" s="189">
        <v>5</v>
      </c>
      <c r="C95" s="202" t="s">
        <v>105</v>
      </c>
      <c r="D95" s="203" t="s">
        <v>80</v>
      </c>
      <c r="E95" s="204">
        <v>10</v>
      </c>
      <c r="F95" s="39">
        <f>VLOOKUP(C95,[1]VL!$B$3:$F$523,5,0)</f>
        <v>454.5454545454545</v>
      </c>
      <c r="G95" s="231">
        <f t="shared" si="7"/>
        <v>4545.454545454545</v>
      </c>
      <c r="I95" s="5">
        <f t="shared" si="5"/>
        <v>12</v>
      </c>
    </row>
    <row r="96" spans="1:9" ht="18" customHeight="1">
      <c r="A96" s="169"/>
      <c r="B96" s="189">
        <v>6</v>
      </c>
      <c r="C96" s="202" t="s">
        <v>109</v>
      </c>
      <c r="D96" s="203" t="s">
        <v>80</v>
      </c>
      <c r="E96" s="204">
        <v>10</v>
      </c>
      <c r="F96" s="39">
        <f>VLOOKUP(C96,[1]VL!$B$3:$F$523,5,0)</f>
        <v>363.63636363636363</v>
      </c>
      <c r="G96" s="231">
        <f t="shared" si="7"/>
        <v>3636.363636363636</v>
      </c>
      <c r="I96" s="5">
        <f t="shared" si="5"/>
        <v>2.4</v>
      </c>
    </row>
    <row r="97" spans="1:9" ht="18" customHeight="1">
      <c r="A97" s="169"/>
      <c r="B97" s="189">
        <v>7</v>
      </c>
      <c r="C97" s="202" t="s">
        <v>83</v>
      </c>
      <c r="D97" s="203" t="s">
        <v>95</v>
      </c>
      <c r="E97" s="204">
        <v>2</v>
      </c>
      <c r="F97" s="39">
        <f>VLOOKUP(C97,[1]VL!$B$3:$F$523,5,0)</f>
        <v>890.90909090909088</v>
      </c>
      <c r="G97" s="231">
        <f t="shared" si="7"/>
        <v>1781.8181818181818</v>
      </c>
      <c r="I97" s="5">
        <f t="shared" si="5"/>
        <v>3.5999999999999996</v>
      </c>
    </row>
    <row r="98" spans="1:9" ht="18" customHeight="1">
      <c r="A98" s="169"/>
      <c r="B98" s="189">
        <v>8</v>
      </c>
      <c r="C98" s="202" t="s">
        <v>103</v>
      </c>
      <c r="D98" s="203" t="s">
        <v>80</v>
      </c>
      <c r="E98" s="204">
        <v>3</v>
      </c>
      <c r="F98" s="39">
        <f>VLOOKUP(C98,[1]VL!$B$3:$F$523,5,0)</f>
        <v>600</v>
      </c>
      <c r="G98" s="231">
        <f t="shared" si="7"/>
        <v>1800</v>
      </c>
      <c r="I98" s="5">
        <f t="shared" si="5"/>
        <v>3.5999999999999996</v>
      </c>
    </row>
    <row r="99" spans="1:9" ht="18" customHeight="1">
      <c r="A99" s="169"/>
      <c r="B99" s="189">
        <v>9</v>
      </c>
      <c r="C99" s="202" t="s">
        <v>249</v>
      </c>
      <c r="D99" s="203" t="s">
        <v>95</v>
      </c>
      <c r="E99" s="204">
        <v>3</v>
      </c>
      <c r="F99" s="39">
        <f>VLOOKUP(C99,[1]VL!$B$3:$F$523,5,0)</f>
        <v>509.09090909090907</v>
      </c>
      <c r="G99" s="231">
        <f t="shared" si="7"/>
        <v>1527.2727272727273</v>
      </c>
      <c r="I99" s="5">
        <f t="shared" si="5"/>
        <v>10.450799999999999</v>
      </c>
    </row>
    <row r="100" spans="1:9" ht="18" customHeight="1">
      <c r="A100" s="169"/>
      <c r="B100" s="189">
        <v>10</v>
      </c>
      <c r="C100" s="202" t="s">
        <v>250</v>
      </c>
      <c r="D100" s="203" t="s">
        <v>95</v>
      </c>
      <c r="E100" s="204">
        <v>8.7089999999999996</v>
      </c>
      <c r="F100" s="39">
        <f>VLOOKUP(C100,[1]VL!$B$3:$F$523,5,0)</f>
        <v>1454.5454545454545</v>
      </c>
      <c r="G100" s="231">
        <f t="shared" si="7"/>
        <v>12667.636363636362</v>
      </c>
      <c r="I100" s="5">
        <f t="shared" si="5"/>
        <v>8.1647999999999996</v>
      </c>
    </row>
    <row r="101" spans="1:9" ht="18" customHeight="1">
      <c r="A101" s="169"/>
      <c r="B101" s="189">
        <v>11</v>
      </c>
      <c r="C101" s="202" t="s">
        <v>251</v>
      </c>
      <c r="D101" s="203" t="s">
        <v>95</v>
      </c>
      <c r="E101" s="204">
        <v>6.8040000000000003</v>
      </c>
      <c r="F101" s="39">
        <f>VLOOKUP(C101,[1]VL!$B$3:$F$523,5,0)</f>
        <v>1363.6363636363635</v>
      </c>
      <c r="G101" s="231">
        <f t="shared" si="7"/>
        <v>9278.181818181818</v>
      </c>
      <c r="I101" s="5">
        <f t="shared" si="5"/>
        <v>0.48</v>
      </c>
    </row>
    <row r="102" spans="1:9" ht="18" customHeight="1">
      <c r="A102" s="169"/>
      <c r="B102" s="189">
        <v>12</v>
      </c>
      <c r="C102" s="202" t="s">
        <v>252</v>
      </c>
      <c r="D102" s="203" t="s">
        <v>95</v>
      </c>
      <c r="E102" s="204">
        <v>0.4</v>
      </c>
      <c r="F102" s="39">
        <f>VLOOKUP(C102,[1]VL!$B$3:$F$523,5,0)</f>
        <v>681.81818181818176</v>
      </c>
      <c r="G102" s="231">
        <f t="shared" si="7"/>
        <v>272.72727272727269</v>
      </c>
      <c r="I102" s="5">
        <f t="shared" si="5"/>
        <v>12</v>
      </c>
    </row>
    <row r="103" spans="1:9" ht="18" customHeight="1">
      <c r="A103" s="169"/>
      <c r="B103" s="189">
        <v>13</v>
      </c>
      <c r="C103" s="202" t="s">
        <v>79</v>
      </c>
      <c r="D103" s="203" t="s">
        <v>80</v>
      </c>
      <c r="E103" s="204">
        <v>10</v>
      </c>
      <c r="F103" s="39">
        <f>VLOOKUP(C103,[1]VL!$B$3:$F$523,5,0)</f>
        <v>31.818181818181817</v>
      </c>
      <c r="G103" s="231">
        <f t="shared" si="7"/>
        <v>318.18181818181819</v>
      </c>
      <c r="I103" s="5">
        <f t="shared" si="5"/>
        <v>2.4E-2</v>
      </c>
    </row>
    <row r="104" spans="1:9" ht="18" customHeight="1">
      <c r="A104" s="169"/>
      <c r="B104" s="189">
        <v>14</v>
      </c>
      <c r="C104" s="227" t="s">
        <v>362</v>
      </c>
      <c r="D104" s="203" t="s">
        <v>49</v>
      </c>
      <c r="E104" s="206">
        <v>0.02</v>
      </c>
      <c r="F104" s="39">
        <f>VLOOKUP(C104,[1]VL!$B$3:$F$523,5,0)</f>
        <v>327272.72727272724</v>
      </c>
      <c r="G104" s="231">
        <f t="shared" si="7"/>
        <v>6545.454545454545</v>
      </c>
      <c r="I104" s="5">
        <f t="shared" si="5"/>
        <v>6.0000000000000001E-3</v>
      </c>
    </row>
    <row r="105" spans="1:9" ht="18" customHeight="1">
      <c r="A105" s="169"/>
      <c r="B105" s="189">
        <v>15</v>
      </c>
      <c r="C105" s="191" t="s">
        <v>81</v>
      </c>
      <c r="D105" s="186" t="s">
        <v>82</v>
      </c>
      <c r="E105" s="187">
        <v>5.0000000000000001E-3</v>
      </c>
      <c r="F105" s="39">
        <f>VLOOKUP(C105,[1]VL!$B$3:$F$523,5,0)</f>
        <v>9090.9090909090901</v>
      </c>
      <c r="G105" s="231">
        <f t="shared" si="7"/>
        <v>45.454545454545453</v>
      </c>
      <c r="I105" s="5">
        <f t="shared" si="5"/>
        <v>1.2E-2</v>
      </c>
    </row>
    <row r="106" spans="1:9" ht="18" customHeight="1">
      <c r="A106" s="169"/>
      <c r="B106" s="189">
        <v>16</v>
      </c>
      <c r="C106" s="191" t="s">
        <v>86</v>
      </c>
      <c r="D106" s="186" t="s">
        <v>49</v>
      </c>
      <c r="E106" s="187">
        <v>0.01</v>
      </c>
      <c r="F106" s="39">
        <f>VLOOKUP(C106,[1]VL!$B$3:$F$523,5,0)</f>
        <v>36363.63636363636</v>
      </c>
      <c r="G106" s="231">
        <f t="shared" si="7"/>
        <v>363.63636363636363</v>
      </c>
      <c r="I106" s="5">
        <f t="shared" si="5"/>
        <v>0</v>
      </c>
    </row>
    <row r="107" spans="1:9" ht="18" customHeight="1">
      <c r="A107" s="169">
        <v>5</v>
      </c>
      <c r="B107" s="165" t="s">
        <v>229</v>
      </c>
      <c r="C107" s="192" t="s">
        <v>236</v>
      </c>
      <c r="D107" s="193"/>
      <c r="E107" s="194"/>
      <c r="F107" s="195"/>
      <c r="G107" s="188">
        <f>SUM(G108:G125)*1.08</f>
        <v>84554.181818181838</v>
      </c>
      <c r="I107" s="5">
        <f t="shared" si="5"/>
        <v>1.2</v>
      </c>
    </row>
    <row r="108" spans="1:9" ht="18" customHeight="1">
      <c r="A108" s="169"/>
      <c r="B108" s="189">
        <v>1</v>
      </c>
      <c r="C108" s="207" t="s">
        <v>237</v>
      </c>
      <c r="D108" s="206" t="s">
        <v>80</v>
      </c>
      <c r="E108" s="208">
        <v>1</v>
      </c>
      <c r="F108" s="39">
        <f>VLOOKUP(C108,[1]VL!$B$3:$F$523,5,0)</f>
        <v>145.45454545454544</v>
      </c>
      <c r="G108" s="231">
        <f>F108*E108</f>
        <v>145.45454545454544</v>
      </c>
      <c r="I108" s="5">
        <f t="shared" si="5"/>
        <v>2.4</v>
      </c>
    </row>
    <row r="109" spans="1:9" ht="18" customHeight="1">
      <c r="A109" s="169"/>
      <c r="B109" s="189">
        <v>2</v>
      </c>
      <c r="C109" s="207" t="s">
        <v>83</v>
      </c>
      <c r="D109" s="206" t="s">
        <v>78</v>
      </c>
      <c r="E109" s="208">
        <v>2</v>
      </c>
      <c r="F109" s="39">
        <f>VLOOKUP(C109,[1]VL!$B$3:$F$523,5,0)</f>
        <v>890.90909090909088</v>
      </c>
      <c r="G109" s="231">
        <f>F109*E109</f>
        <v>1781.8181818181818</v>
      </c>
      <c r="I109" s="5">
        <f t="shared" si="5"/>
        <v>0.24</v>
      </c>
    </row>
    <row r="110" spans="1:9" ht="18" customHeight="1">
      <c r="A110" s="169"/>
      <c r="B110" s="189">
        <v>3</v>
      </c>
      <c r="C110" s="207" t="s">
        <v>238</v>
      </c>
      <c r="D110" s="206" t="s">
        <v>78</v>
      </c>
      <c r="E110" s="208">
        <v>0.2</v>
      </c>
      <c r="F110" s="39">
        <f>VLOOKUP(C110,[1]VL!$B$3:$F$523,5,0)</f>
        <v>22727.272727272724</v>
      </c>
      <c r="G110" s="231">
        <f>F110*E110</f>
        <v>4545.454545454545</v>
      </c>
      <c r="I110" s="5">
        <f t="shared" si="5"/>
        <v>0.12</v>
      </c>
    </row>
    <row r="111" spans="1:9" ht="36" customHeight="1">
      <c r="A111" s="169"/>
      <c r="B111" s="189">
        <v>4</v>
      </c>
      <c r="C111" s="207" t="s">
        <v>338</v>
      </c>
      <c r="D111" s="206" t="s">
        <v>78</v>
      </c>
      <c r="E111" s="208">
        <v>0.1</v>
      </c>
      <c r="F111" s="39">
        <f>VLOOKUP(C111,[1]VL!$B$3:$F$523,5,0)</f>
        <v>104545.45454545454</v>
      </c>
      <c r="G111" s="231">
        <f>F111*E111</f>
        <v>10454.545454545456</v>
      </c>
      <c r="I111" s="5">
        <f t="shared" si="5"/>
        <v>30</v>
      </c>
    </row>
    <row r="112" spans="1:9" ht="18" customHeight="1">
      <c r="A112" s="169"/>
      <c r="B112" s="189">
        <v>5</v>
      </c>
      <c r="C112" s="191" t="s">
        <v>468</v>
      </c>
      <c r="D112" s="206" t="s">
        <v>80</v>
      </c>
      <c r="E112" s="208">
        <v>25</v>
      </c>
      <c r="F112" s="39">
        <f>VLOOKUP(C112,[1]VL!$B$3:$F$523,5,0)</f>
        <v>499.99999999999994</v>
      </c>
      <c r="G112" s="231">
        <f>F112*E112</f>
        <v>12499.999999999998</v>
      </c>
      <c r="I112" s="5">
        <f t="shared" si="5"/>
        <v>0.24</v>
      </c>
    </row>
    <row r="113" spans="1:9" ht="18" customHeight="1">
      <c r="A113" s="169"/>
      <c r="B113" s="189">
        <v>6</v>
      </c>
      <c r="C113" s="207" t="s">
        <v>339</v>
      </c>
      <c r="D113" s="206" t="s">
        <v>78</v>
      </c>
      <c r="E113" s="208">
        <v>0.2</v>
      </c>
      <c r="F113" s="39">
        <f>VLOOKUP(C113,[1]VL!$B$3:$F$523,5,0)</f>
        <v>50909.090909090904</v>
      </c>
      <c r="G113" s="231">
        <f t="shared" ref="G113:G117" si="9">F113*E113</f>
        <v>10181.818181818182</v>
      </c>
      <c r="I113" s="5">
        <f t="shared" si="5"/>
        <v>6</v>
      </c>
    </row>
    <row r="114" spans="1:9" ht="18" customHeight="1">
      <c r="A114" s="169"/>
      <c r="B114" s="189">
        <v>7</v>
      </c>
      <c r="C114" s="207" t="s">
        <v>340</v>
      </c>
      <c r="D114" s="206" t="s">
        <v>80</v>
      </c>
      <c r="E114" s="208">
        <v>5</v>
      </c>
      <c r="F114" s="39">
        <f>VLOOKUP(C114,[1]VL!$B$3:$F$523,5,0)</f>
        <v>1190.9090909090908</v>
      </c>
      <c r="G114" s="231">
        <f t="shared" si="9"/>
        <v>5954.545454545454</v>
      </c>
      <c r="I114" s="5">
        <f t="shared" si="5"/>
        <v>0.12</v>
      </c>
    </row>
    <row r="115" spans="1:9" ht="18" customHeight="1">
      <c r="A115" s="169"/>
      <c r="B115" s="189">
        <v>8</v>
      </c>
      <c r="C115" s="207" t="s">
        <v>341</v>
      </c>
      <c r="D115" s="206" t="s">
        <v>78</v>
      </c>
      <c r="E115" s="208">
        <v>0.1</v>
      </c>
      <c r="F115" s="39">
        <f>VLOOKUP(C115,[1]VL!$B$3:$F$523,5,0)</f>
        <v>40909.090909090904</v>
      </c>
      <c r="G115" s="231">
        <f t="shared" si="9"/>
        <v>4090.9090909090905</v>
      </c>
      <c r="I115" s="5">
        <f t="shared" si="5"/>
        <v>6</v>
      </c>
    </row>
    <row r="116" spans="1:9" ht="18" customHeight="1">
      <c r="A116" s="169"/>
      <c r="B116" s="189">
        <v>9</v>
      </c>
      <c r="C116" s="207" t="s">
        <v>239</v>
      </c>
      <c r="D116" s="206" t="s">
        <v>78</v>
      </c>
      <c r="E116" s="208">
        <v>5</v>
      </c>
      <c r="F116" s="39">
        <f>VLOOKUP(C116,[1]VL!$B$3:$F$523,5,0)</f>
        <v>636.36363636363626</v>
      </c>
      <c r="G116" s="231">
        <f t="shared" si="9"/>
        <v>3181.8181818181811</v>
      </c>
      <c r="I116" s="5">
        <f t="shared" si="5"/>
        <v>12</v>
      </c>
    </row>
    <row r="117" spans="1:9" ht="18" customHeight="1">
      <c r="A117" s="169"/>
      <c r="B117" s="189">
        <v>10</v>
      </c>
      <c r="C117" s="207" t="s">
        <v>79</v>
      </c>
      <c r="D117" s="206" t="s">
        <v>80</v>
      </c>
      <c r="E117" s="208">
        <v>10</v>
      </c>
      <c r="F117" s="39">
        <f>VLOOKUP(C117,[1]VL!$B$3:$F$523,5,0)</f>
        <v>31.818181818181817</v>
      </c>
      <c r="G117" s="231">
        <f t="shared" si="9"/>
        <v>318.18181818181819</v>
      </c>
      <c r="I117" s="5">
        <f t="shared" si="5"/>
        <v>0.12</v>
      </c>
    </row>
    <row r="118" spans="1:9" ht="18" customHeight="1">
      <c r="A118" s="169"/>
      <c r="B118" s="189">
        <v>11</v>
      </c>
      <c r="C118" s="207" t="s">
        <v>87</v>
      </c>
      <c r="D118" s="206" t="s">
        <v>49</v>
      </c>
      <c r="E118" s="208">
        <v>0.1</v>
      </c>
      <c r="F118" s="39">
        <f>VLOOKUP(C118,[1]VL!$B$3:$F$523,5,0)</f>
        <v>109090.90909090909</v>
      </c>
      <c r="G118" s="231">
        <f t="shared" ref="G118:G125" si="10">F118*E118</f>
        <v>10909.09090909091</v>
      </c>
      <c r="I118" s="5">
        <f t="shared" si="5"/>
        <v>2.4E-2</v>
      </c>
    </row>
    <row r="119" spans="1:9" ht="18" customHeight="1">
      <c r="A119" s="169"/>
      <c r="B119" s="189">
        <v>12</v>
      </c>
      <c r="C119" s="227" t="s">
        <v>362</v>
      </c>
      <c r="D119" s="206" t="s">
        <v>49</v>
      </c>
      <c r="E119" s="206">
        <v>0.02</v>
      </c>
      <c r="F119" s="39">
        <f>VLOOKUP(C119,[1]VL!$B$3:$F$523,5,0)</f>
        <v>327272.72727272724</v>
      </c>
      <c r="G119" s="231">
        <f t="shared" si="10"/>
        <v>6545.454545454545</v>
      </c>
      <c r="I119" s="5">
        <f t="shared" si="5"/>
        <v>6.0000000000000001E-3</v>
      </c>
    </row>
    <row r="120" spans="1:9" ht="18" customHeight="1">
      <c r="A120" s="169"/>
      <c r="B120" s="189">
        <v>13</v>
      </c>
      <c r="C120" s="207" t="s">
        <v>81</v>
      </c>
      <c r="D120" s="206" t="s">
        <v>82</v>
      </c>
      <c r="E120" s="187">
        <v>5.0000000000000001E-3</v>
      </c>
      <c r="F120" s="39">
        <f>VLOOKUP(C120,[1]VL!$B$3:$F$523,5,0)</f>
        <v>9090.9090909090901</v>
      </c>
      <c r="G120" s="231">
        <f t="shared" si="10"/>
        <v>45.454545454545453</v>
      </c>
      <c r="I120" s="5">
        <f t="shared" si="5"/>
        <v>1.2E-2</v>
      </c>
    </row>
    <row r="121" spans="1:9" ht="18" customHeight="1">
      <c r="A121" s="169"/>
      <c r="B121" s="189">
        <v>14</v>
      </c>
      <c r="C121" s="207" t="s">
        <v>86</v>
      </c>
      <c r="D121" s="206" t="s">
        <v>98</v>
      </c>
      <c r="E121" s="208">
        <v>0.01</v>
      </c>
      <c r="F121" s="39">
        <f>VLOOKUP(C121,[1]VL!$B$3:$F$523,5,0)</f>
        <v>36363.63636363636</v>
      </c>
      <c r="G121" s="231">
        <f t="shared" si="10"/>
        <v>363.63636363636363</v>
      </c>
      <c r="I121" s="5">
        <f t="shared" si="5"/>
        <v>12</v>
      </c>
    </row>
    <row r="122" spans="1:9" ht="18" customHeight="1">
      <c r="A122" s="169"/>
      <c r="B122" s="189">
        <v>15</v>
      </c>
      <c r="C122" s="191" t="s">
        <v>79</v>
      </c>
      <c r="D122" s="186" t="s">
        <v>80</v>
      </c>
      <c r="E122" s="187">
        <v>10</v>
      </c>
      <c r="F122" s="39">
        <f>VLOOKUP(C122,[1]VL!$B$3:$F$523,5,0)</f>
        <v>31.818181818181817</v>
      </c>
      <c r="G122" s="231">
        <f t="shared" si="10"/>
        <v>318.18181818181819</v>
      </c>
      <c r="I122" s="5">
        <f t="shared" si="5"/>
        <v>2.4E-2</v>
      </c>
    </row>
    <row r="123" spans="1:9" ht="18" customHeight="1">
      <c r="A123" s="169"/>
      <c r="B123" s="189">
        <v>16</v>
      </c>
      <c r="C123" s="227" t="s">
        <v>362</v>
      </c>
      <c r="D123" s="186" t="s">
        <v>49</v>
      </c>
      <c r="E123" s="187">
        <v>0.02</v>
      </c>
      <c r="F123" s="39">
        <f>VLOOKUP(C123,[1]VL!$B$3:$F$523,5,0)</f>
        <v>327272.72727272724</v>
      </c>
      <c r="G123" s="231">
        <f t="shared" si="10"/>
        <v>6545.454545454545</v>
      </c>
      <c r="I123" s="5">
        <f t="shared" si="5"/>
        <v>6.0000000000000001E-3</v>
      </c>
    </row>
    <row r="124" spans="1:9" ht="18" customHeight="1">
      <c r="A124" s="169"/>
      <c r="B124" s="189">
        <v>17</v>
      </c>
      <c r="C124" s="191" t="s">
        <v>81</v>
      </c>
      <c r="D124" s="186" t="s">
        <v>82</v>
      </c>
      <c r="E124" s="187">
        <v>5.0000000000000001E-3</v>
      </c>
      <c r="F124" s="39">
        <f>VLOOKUP(C124,[1]VL!$B$3:$F$523,5,0)</f>
        <v>9090.9090909090901</v>
      </c>
      <c r="G124" s="231">
        <f t="shared" si="10"/>
        <v>45.454545454545453</v>
      </c>
      <c r="I124" s="5">
        <f t="shared" si="5"/>
        <v>1.2E-2</v>
      </c>
    </row>
    <row r="125" spans="1:9" ht="18" customHeight="1">
      <c r="A125" s="169"/>
      <c r="B125" s="189">
        <v>18</v>
      </c>
      <c r="C125" s="191" t="s">
        <v>86</v>
      </c>
      <c r="D125" s="186" t="s">
        <v>98</v>
      </c>
      <c r="E125" s="187">
        <v>0.01</v>
      </c>
      <c r="F125" s="39">
        <f>VLOOKUP(C125,[1]VL!$B$3:$F$523,5,0)</f>
        <v>36363.63636363636</v>
      </c>
      <c r="G125" s="231">
        <f t="shared" si="10"/>
        <v>363.63636363636363</v>
      </c>
      <c r="I125" s="5">
        <f t="shared" si="5"/>
        <v>0</v>
      </c>
    </row>
    <row r="126" spans="1:9" ht="18" customHeight="1">
      <c r="A126" s="169">
        <v>6</v>
      </c>
      <c r="B126" s="165" t="s">
        <v>413</v>
      </c>
      <c r="C126" s="365" t="s">
        <v>430</v>
      </c>
      <c r="D126" s="365"/>
      <c r="E126" s="365"/>
      <c r="F126" s="195"/>
      <c r="G126" s="188">
        <f>SUM(G127:G137)*1.08</f>
        <v>67549.090909090897</v>
      </c>
      <c r="I126" s="5">
        <f t="shared" si="5"/>
        <v>1.2</v>
      </c>
    </row>
    <row r="127" spans="1:9" ht="18" customHeight="1">
      <c r="A127" s="169"/>
      <c r="B127" s="189">
        <v>1</v>
      </c>
      <c r="C127" s="191" t="s">
        <v>85</v>
      </c>
      <c r="D127" s="186" t="s">
        <v>80</v>
      </c>
      <c r="E127" s="187">
        <v>1</v>
      </c>
      <c r="F127" s="39">
        <f>VLOOKUP(C127,[1]VL!$B$3:$F$523,5,0)</f>
        <v>2181.8181818181815</v>
      </c>
      <c r="G127" s="231">
        <f t="shared" ref="G127:G137" si="11">F127*E127</f>
        <v>2181.8181818181815</v>
      </c>
      <c r="I127" s="5">
        <f t="shared" si="5"/>
        <v>12</v>
      </c>
    </row>
    <row r="128" spans="1:9" ht="18" customHeight="1">
      <c r="A128" s="169"/>
      <c r="B128" s="189">
        <v>2</v>
      </c>
      <c r="C128" s="191" t="s">
        <v>194</v>
      </c>
      <c r="D128" s="186" t="s">
        <v>80</v>
      </c>
      <c r="E128" s="187">
        <v>10</v>
      </c>
      <c r="F128" s="39">
        <f>VLOOKUP(C128,[1]VL!$B$3:$F$523,5,0)</f>
        <v>600</v>
      </c>
      <c r="G128" s="231">
        <f t="shared" si="11"/>
        <v>6000</v>
      </c>
      <c r="I128" s="5">
        <f t="shared" si="5"/>
        <v>12</v>
      </c>
    </row>
    <row r="129" spans="1:9" ht="18" customHeight="1">
      <c r="A129" s="169"/>
      <c r="B129" s="189">
        <v>3</v>
      </c>
      <c r="C129" s="191" t="s">
        <v>195</v>
      </c>
      <c r="D129" s="186" t="s">
        <v>80</v>
      </c>
      <c r="E129" s="187">
        <v>10</v>
      </c>
      <c r="F129" s="39">
        <f>VLOOKUP(C129,[1]VL!$B$3:$F$523,5,0)</f>
        <v>999.99999999999989</v>
      </c>
      <c r="G129" s="231">
        <f t="shared" si="11"/>
        <v>9999.9999999999982</v>
      </c>
      <c r="I129" s="5">
        <f t="shared" si="5"/>
        <v>12</v>
      </c>
    </row>
    <row r="130" spans="1:9" ht="18" customHeight="1">
      <c r="A130" s="169"/>
      <c r="B130" s="189">
        <v>4</v>
      </c>
      <c r="C130" s="191" t="s">
        <v>83</v>
      </c>
      <c r="D130" s="186" t="s">
        <v>78</v>
      </c>
      <c r="E130" s="187">
        <v>10</v>
      </c>
      <c r="F130" s="39">
        <f>VLOOKUP(C130,[1]VL!$B$3:$F$523,5,0)</f>
        <v>890.90909090909088</v>
      </c>
      <c r="G130" s="231">
        <f t="shared" si="11"/>
        <v>8909.0909090909081</v>
      </c>
      <c r="I130" s="5">
        <f t="shared" si="5"/>
        <v>12</v>
      </c>
    </row>
    <row r="131" spans="1:9" ht="18" customHeight="1">
      <c r="A131" s="169"/>
      <c r="B131" s="189">
        <v>5</v>
      </c>
      <c r="C131" s="191" t="s">
        <v>99</v>
      </c>
      <c r="D131" s="186" t="s">
        <v>78</v>
      </c>
      <c r="E131" s="187">
        <v>10</v>
      </c>
      <c r="F131" s="39">
        <f>VLOOKUP(C131,[1]VL!$B$3:$F$523,5,0)</f>
        <v>890.90909090909088</v>
      </c>
      <c r="G131" s="231">
        <f t="shared" si="11"/>
        <v>8909.0909090909081</v>
      </c>
      <c r="I131" s="5">
        <f t="shared" si="5"/>
        <v>1.1999999999999999E-3</v>
      </c>
    </row>
    <row r="132" spans="1:9" ht="18" customHeight="1">
      <c r="A132" s="169"/>
      <c r="B132" s="189">
        <v>6</v>
      </c>
      <c r="C132" s="191" t="s">
        <v>100</v>
      </c>
      <c r="D132" s="186" t="s">
        <v>78</v>
      </c>
      <c r="E132" s="187">
        <v>1E-3</v>
      </c>
      <c r="F132" s="39">
        <f>VLOOKUP(C132,[1]VL!$B$3:$F$523,5,0)</f>
        <v>5000000</v>
      </c>
      <c r="G132" s="231">
        <f t="shared" si="11"/>
        <v>5000</v>
      </c>
      <c r="I132" s="5">
        <f t="shared" si="5"/>
        <v>12</v>
      </c>
    </row>
    <row r="133" spans="1:9" ht="18" customHeight="1">
      <c r="A133" s="169"/>
      <c r="B133" s="189">
        <v>7</v>
      </c>
      <c r="C133" s="191" t="s">
        <v>79</v>
      </c>
      <c r="D133" s="186" t="s">
        <v>80</v>
      </c>
      <c r="E133" s="187">
        <v>10</v>
      </c>
      <c r="F133" s="39">
        <f>VLOOKUP(C133,[1]VL!$B$3:$F$523,5,0)</f>
        <v>31.818181818181817</v>
      </c>
      <c r="G133" s="231">
        <f t="shared" si="11"/>
        <v>318.18181818181819</v>
      </c>
      <c r="I133" s="5">
        <f t="shared" si="5"/>
        <v>7.1999999999999995E-2</v>
      </c>
    </row>
    <row r="134" spans="1:9" ht="18" customHeight="1">
      <c r="A134" s="169"/>
      <c r="B134" s="189">
        <v>8</v>
      </c>
      <c r="C134" s="227" t="s">
        <v>362</v>
      </c>
      <c r="D134" s="186" t="s">
        <v>49</v>
      </c>
      <c r="E134" s="187">
        <v>0.06</v>
      </c>
      <c r="F134" s="39">
        <f>VLOOKUP(C134,[1]VL!$B$3:$F$523,5,0)</f>
        <v>327272.72727272724</v>
      </c>
      <c r="G134" s="231">
        <f t="shared" si="11"/>
        <v>19636.363636363632</v>
      </c>
      <c r="I134" s="5">
        <f t="shared" si="5"/>
        <v>6.0000000000000001E-3</v>
      </c>
    </row>
    <row r="135" spans="1:9" ht="18" customHeight="1">
      <c r="A135" s="169"/>
      <c r="B135" s="189">
        <v>9</v>
      </c>
      <c r="C135" s="191" t="s">
        <v>81</v>
      </c>
      <c r="D135" s="186" t="s">
        <v>82</v>
      </c>
      <c r="E135" s="187">
        <v>5.0000000000000001E-3</v>
      </c>
      <c r="F135" s="39">
        <f>VLOOKUP(C135,[1]VL!$B$3:$F$523,5,0)</f>
        <v>9090.9090909090901</v>
      </c>
      <c r="G135" s="231">
        <f t="shared" si="11"/>
        <v>45.454545454545453</v>
      </c>
      <c r="I135" s="5">
        <f t="shared" ref="I135:I198" si="12">E136*1.2</f>
        <v>1.2E-2</v>
      </c>
    </row>
    <row r="136" spans="1:9" ht="18" customHeight="1">
      <c r="A136" s="169"/>
      <c r="B136" s="189">
        <v>10</v>
      </c>
      <c r="C136" s="191" t="s">
        <v>86</v>
      </c>
      <c r="D136" s="186" t="s">
        <v>49</v>
      </c>
      <c r="E136" s="187">
        <v>0.01</v>
      </c>
      <c r="F136" s="39">
        <f>VLOOKUP(C136,[1]VL!$B$3:$F$523,5,0)</f>
        <v>36363.63636363636</v>
      </c>
      <c r="G136" s="231">
        <f t="shared" si="11"/>
        <v>363.63636363636363</v>
      </c>
      <c r="I136" s="5">
        <f t="shared" si="12"/>
        <v>2.3999999999999998E-3</v>
      </c>
    </row>
    <row r="137" spans="1:9" ht="18" customHeight="1">
      <c r="A137" s="169"/>
      <c r="B137" s="189">
        <v>11</v>
      </c>
      <c r="C137" s="191" t="s">
        <v>101</v>
      </c>
      <c r="D137" s="186" t="s">
        <v>45</v>
      </c>
      <c r="E137" s="187">
        <v>2E-3</v>
      </c>
      <c r="F137" s="39">
        <f>VLOOKUP(C137,[1]VL!$B$3:$F$523,5,0)</f>
        <v>590909.09090909082</v>
      </c>
      <c r="G137" s="231">
        <f t="shared" si="11"/>
        <v>1181.8181818181818</v>
      </c>
      <c r="I137" s="5">
        <f t="shared" si="12"/>
        <v>0</v>
      </c>
    </row>
    <row r="138" spans="1:9" ht="18" customHeight="1">
      <c r="A138" s="169">
        <v>7</v>
      </c>
      <c r="B138" s="139" t="s">
        <v>414</v>
      </c>
      <c r="C138" s="140" t="s">
        <v>431</v>
      </c>
      <c r="D138" s="356" t="s">
        <v>428</v>
      </c>
      <c r="E138" s="357"/>
      <c r="F138" s="358"/>
      <c r="G138" s="185">
        <f>G126</f>
        <v>67549.090909090897</v>
      </c>
      <c r="I138" s="5">
        <f t="shared" si="12"/>
        <v>0</v>
      </c>
    </row>
    <row r="139" spans="1:9" ht="18" customHeight="1">
      <c r="A139" s="169">
        <v>8</v>
      </c>
      <c r="B139" s="165" t="s">
        <v>227</v>
      </c>
      <c r="C139" s="365" t="s">
        <v>146</v>
      </c>
      <c r="D139" s="365"/>
      <c r="E139" s="365"/>
      <c r="F139" s="195"/>
      <c r="G139" s="188">
        <f>SUM(G140:G152)*1.08</f>
        <v>64426.909090909081</v>
      </c>
      <c r="I139" s="5">
        <f t="shared" si="12"/>
        <v>1.2</v>
      </c>
    </row>
    <row r="140" spans="1:9" ht="18" customHeight="1">
      <c r="A140" s="169"/>
      <c r="B140" s="189">
        <v>1</v>
      </c>
      <c r="C140" s="191" t="s">
        <v>85</v>
      </c>
      <c r="D140" s="186" t="s">
        <v>80</v>
      </c>
      <c r="E140" s="187">
        <v>1</v>
      </c>
      <c r="F140" s="39">
        <f>VLOOKUP(C140,[1]VL!$B$3:$F$523,5,0)</f>
        <v>2181.8181818181815</v>
      </c>
      <c r="G140" s="231">
        <f t="shared" ref="G140:G152" si="13">F140*E140</f>
        <v>2181.8181818181815</v>
      </c>
      <c r="I140" s="5">
        <f t="shared" si="12"/>
        <v>12</v>
      </c>
    </row>
    <row r="141" spans="1:9" ht="18" customHeight="1">
      <c r="A141" s="169"/>
      <c r="B141" s="189">
        <v>2</v>
      </c>
      <c r="C141" s="191" t="s">
        <v>103</v>
      </c>
      <c r="D141" s="186" t="s">
        <v>80</v>
      </c>
      <c r="E141" s="187">
        <v>10</v>
      </c>
      <c r="F141" s="39">
        <f>VLOOKUP(C141,[1]VL!$B$3:$F$523,5,0)</f>
        <v>600</v>
      </c>
      <c r="G141" s="231">
        <f t="shared" si="13"/>
        <v>6000</v>
      </c>
      <c r="I141" s="5">
        <f t="shared" si="12"/>
        <v>12</v>
      </c>
    </row>
    <row r="142" spans="1:9" ht="18" customHeight="1">
      <c r="A142" s="169"/>
      <c r="B142" s="189">
        <v>3</v>
      </c>
      <c r="C142" s="191" t="s">
        <v>104</v>
      </c>
      <c r="D142" s="186" t="s">
        <v>80</v>
      </c>
      <c r="E142" s="187">
        <v>10</v>
      </c>
      <c r="F142" s="39">
        <f>VLOOKUP(C142,[1]VL!$B$3:$F$523,5,0)</f>
        <v>999.99999999999989</v>
      </c>
      <c r="G142" s="231">
        <f t="shared" si="13"/>
        <v>9999.9999999999982</v>
      </c>
      <c r="I142" s="5">
        <f t="shared" si="12"/>
        <v>3</v>
      </c>
    </row>
    <row r="143" spans="1:9" ht="18" customHeight="1">
      <c r="A143" s="169"/>
      <c r="B143" s="189">
        <v>4</v>
      </c>
      <c r="C143" s="191" t="s">
        <v>105</v>
      </c>
      <c r="D143" s="186" t="s">
        <v>80</v>
      </c>
      <c r="E143" s="187">
        <v>2.5</v>
      </c>
      <c r="F143" s="39">
        <f>VLOOKUP(C143,[1]VL!$B$3:$F$523,5,0)</f>
        <v>454.5454545454545</v>
      </c>
      <c r="G143" s="231">
        <f t="shared" si="13"/>
        <v>1136.3636363636363</v>
      </c>
      <c r="I143" s="5">
        <f t="shared" si="12"/>
        <v>6</v>
      </c>
    </row>
    <row r="144" spans="1:9" ht="18" customHeight="1">
      <c r="A144" s="169"/>
      <c r="B144" s="189">
        <v>5</v>
      </c>
      <c r="C144" s="191" t="s">
        <v>468</v>
      </c>
      <c r="D144" s="186" t="s">
        <v>80</v>
      </c>
      <c r="E144" s="187">
        <v>5</v>
      </c>
      <c r="F144" s="39">
        <f>VLOOKUP(C144,[1]VL!$B$3:$F$523,5,0)</f>
        <v>499.99999999999994</v>
      </c>
      <c r="G144" s="231">
        <f t="shared" si="13"/>
        <v>2499.9999999999995</v>
      </c>
      <c r="I144" s="5">
        <f t="shared" si="12"/>
        <v>2.4</v>
      </c>
    </row>
    <row r="145" spans="1:9" ht="18" customHeight="1">
      <c r="A145" s="169"/>
      <c r="B145" s="189">
        <v>6</v>
      </c>
      <c r="C145" s="191" t="s">
        <v>90</v>
      </c>
      <c r="D145" s="186" t="s">
        <v>78</v>
      </c>
      <c r="E145" s="187">
        <v>2</v>
      </c>
      <c r="F145" s="39">
        <f>VLOOKUP(C145,[1]VL!$B$3:$F$523,5,0)</f>
        <v>5454.545454545454</v>
      </c>
      <c r="G145" s="231">
        <f t="shared" si="13"/>
        <v>10909.090909090908</v>
      </c>
      <c r="I145" s="5">
        <f t="shared" si="12"/>
        <v>12</v>
      </c>
    </row>
    <row r="146" spans="1:9" ht="18" customHeight="1">
      <c r="A146" s="169"/>
      <c r="B146" s="189">
        <v>7</v>
      </c>
      <c r="C146" s="191" t="s">
        <v>83</v>
      </c>
      <c r="D146" s="186" t="s">
        <v>78</v>
      </c>
      <c r="E146" s="187">
        <v>10</v>
      </c>
      <c r="F146" s="39">
        <f>VLOOKUP(C146,[1]VL!$B$3:$F$523,5,0)</f>
        <v>890.90909090909088</v>
      </c>
      <c r="G146" s="231">
        <f t="shared" si="13"/>
        <v>8909.0909090909081</v>
      </c>
      <c r="I146" s="5">
        <f t="shared" si="12"/>
        <v>0.36</v>
      </c>
    </row>
    <row r="147" spans="1:9" ht="18" customHeight="1">
      <c r="A147" s="169"/>
      <c r="B147" s="189">
        <v>8</v>
      </c>
      <c r="C147" s="191" t="s">
        <v>106</v>
      </c>
      <c r="D147" s="186" t="s">
        <v>78</v>
      </c>
      <c r="E147" s="187">
        <v>0.3</v>
      </c>
      <c r="F147" s="39">
        <f>VLOOKUP(C147,[1]VL!$B$3:$F$523,5,0)</f>
        <v>47636.363636363632</v>
      </c>
      <c r="G147" s="231">
        <f t="shared" si="13"/>
        <v>14290.90909090909</v>
      </c>
      <c r="I147" s="5">
        <f t="shared" si="12"/>
        <v>12</v>
      </c>
    </row>
    <row r="148" spans="1:9" ht="18" customHeight="1">
      <c r="A148" s="169"/>
      <c r="B148" s="189">
        <v>9</v>
      </c>
      <c r="C148" s="191" t="s">
        <v>79</v>
      </c>
      <c r="D148" s="186" t="s">
        <v>80</v>
      </c>
      <c r="E148" s="187">
        <v>10</v>
      </c>
      <c r="F148" s="39">
        <f>VLOOKUP(C148,[1]VL!$B$3:$F$523,5,0)</f>
        <v>31.818181818181817</v>
      </c>
      <c r="G148" s="231">
        <f t="shared" si="13"/>
        <v>318.18181818181819</v>
      </c>
      <c r="I148" s="5">
        <f t="shared" si="12"/>
        <v>6.0000000000000001E-3</v>
      </c>
    </row>
    <row r="149" spans="1:9" ht="18" customHeight="1">
      <c r="A149" s="169"/>
      <c r="B149" s="189">
        <v>10</v>
      </c>
      <c r="C149" s="191" t="s">
        <v>81</v>
      </c>
      <c r="D149" s="186" t="s">
        <v>82</v>
      </c>
      <c r="E149" s="187">
        <v>5.0000000000000001E-3</v>
      </c>
      <c r="F149" s="39">
        <f>VLOOKUP(C149,[1]VL!$B$3:$F$523,5,0)</f>
        <v>9090.9090909090901</v>
      </c>
      <c r="G149" s="231">
        <f t="shared" si="13"/>
        <v>45.454545454545453</v>
      </c>
      <c r="I149" s="5">
        <f t="shared" si="12"/>
        <v>1.2E-2</v>
      </c>
    </row>
    <row r="150" spans="1:9" ht="18" customHeight="1">
      <c r="A150" s="169"/>
      <c r="B150" s="189">
        <v>11</v>
      </c>
      <c r="C150" s="191" t="s">
        <v>86</v>
      </c>
      <c r="D150" s="186" t="s">
        <v>98</v>
      </c>
      <c r="E150" s="187">
        <v>0.01</v>
      </c>
      <c r="F150" s="39">
        <f>VLOOKUP(C150,[1]VL!$B$3:$F$523,5,0)</f>
        <v>36363.63636363636</v>
      </c>
      <c r="G150" s="231">
        <f t="shared" si="13"/>
        <v>363.63636363636363</v>
      </c>
      <c r="I150" s="5">
        <f t="shared" si="12"/>
        <v>2.3999999999999998E-3</v>
      </c>
    </row>
    <row r="151" spans="1:9" ht="18" customHeight="1">
      <c r="A151" s="169"/>
      <c r="B151" s="189">
        <v>12</v>
      </c>
      <c r="C151" s="191" t="s">
        <v>101</v>
      </c>
      <c r="D151" s="186" t="s">
        <v>45</v>
      </c>
      <c r="E151" s="187">
        <v>2E-3</v>
      </c>
      <c r="F151" s="39">
        <f>VLOOKUP(C151,[1]VL!$B$3:$F$523,5,0)</f>
        <v>590909.09090909082</v>
      </c>
      <c r="G151" s="231">
        <f t="shared" si="13"/>
        <v>1181.8181818181818</v>
      </c>
      <c r="I151" s="5">
        <f t="shared" si="12"/>
        <v>2.3999999999999998E-3</v>
      </c>
    </row>
    <row r="152" spans="1:9" ht="18" customHeight="1">
      <c r="A152" s="169"/>
      <c r="B152" s="189">
        <v>13</v>
      </c>
      <c r="C152" s="191" t="s">
        <v>102</v>
      </c>
      <c r="D152" s="186" t="s">
        <v>45</v>
      </c>
      <c r="E152" s="187">
        <v>2E-3</v>
      </c>
      <c r="F152" s="39">
        <f>VLOOKUP(C152,[1]VL!$B$3:$F$523,5,0)</f>
        <v>909090.90909090906</v>
      </c>
      <c r="G152" s="231">
        <f t="shared" si="13"/>
        <v>1818.1818181818182</v>
      </c>
      <c r="I152" s="5">
        <f t="shared" si="12"/>
        <v>0</v>
      </c>
    </row>
    <row r="153" spans="1:9" ht="18" customHeight="1">
      <c r="A153" s="169">
        <v>9</v>
      </c>
      <c r="B153" s="165" t="s">
        <v>243</v>
      </c>
      <c r="C153" s="192" t="s">
        <v>253</v>
      </c>
      <c r="D153" s="192"/>
      <c r="E153" s="209"/>
      <c r="F153" s="195"/>
      <c r="G153" s="188">
        <f>SUM(G154:G168)*1.08</f>
        <v>69463.636363636353</v>
      </c>
      <c r="I153" s="5">
        <f t="shared" si="12"/>
        <v>1.2</v>
      </c>
    </row>
    <row r="154" spans="1:9" ht="18" customHeight="1">
      <c r="A154" s="169"/>
      <c r="B154" s="189">
        <v>1</v>
      </c>
      <c r="C154" s="191" t="s">
        <v>85</v>
      </c>
      <c r="D154" s="186" t="s">
        <v>80</v>
      </c>
      <c r="E154" s="187">
        <v>1</v>
      </c>
      <c r="F154" s="39">
        <f>VLOOKUP(C154,[1]VL!$B$3:$F$523,5,0)</f>
        <v>2181.8181818181815</v>
      </c>
      <c r="G154" s="231">
        <f t="shared" ref="G154:G168" si="14">F154*E154</f>
        <v>2181.8181818181815</v>
      </c>
      <c r="I154" s="5">
        <f t="shared" si="12"/>
        <v>12</v>
      </c>
    </row>
    <row r="155" spans="1:9" ht="18" customHeight="1">
      <c r="A155" s="169"/>
      <c r="B155" s="189">
        <v>2</v>
      </c>
      <c r="C155" s="191" t="s">
        <v>195</v>
      </c>
      <c r="D155" s="186" t="s">
        <v>80</v>
      </c>
      <c r="E155" s="187">
        <v>10</v>
      </c>
      <c r="F155" s="39">
        <f>VLOOKUP(C155,[1]VL!$B$3:$F$523,5,0)</f>
        <v>999.99999999999989</v>
      </c>
      <c r="G155" s="231">
        <f t="shared" si="14"/>
        <v>9999.9999999999982</v>
      </c>
      <c r="I155" s="5">
        <f t="shared" si="12"/>
        <v>12</v>
      </c>
    </row>
    <row r="156" spans="1:9" ht="18" customHeight="1">
      <c r="A156" s="169"/>
      <c r="B156" s="189">
        <v>3</v>
      </c>
      <c r="C156" s="191" t="s">
        <v>194</v>
      </c>
      <c r="D156" s="186" t="s">
        <v>80</v>
      </c>
      <c r="E156" s="187">
        <v>10</v>
      </c>
      <c r="F156" s="39">
        <f>VLOOKUP(C156,[1]VL!$B$3:$F$523,5,0)</f>
        <v>600</v>
      </c>
      <c r="G156" s="231">
        <f t="shared" si="14"/>
        <v>6000</v>
      </c>
      <c r="I156" s="5">
        <f t="shared" si="12"/>
        <v>3</v>
      </c>
    </row>
    <row r="157" spans="1:9" ht="18" customHeight="1">
      <c r="A157" s="169"/>
      <c r="B157" s="189">
        <v>4</v>
      </c>
      <c r="C157" s="191" t="s">
        <v>105</v>
      </c>
      <c r="D157" s="186" t="s">
        <v>80</v>
      </c>
      <c r="E157" s="187">
        <v>2.5</v>
      </c>
      <c r="F157" s="39">
        <f>VLOOKUP(C157,[1]VL!$B$3:$F$523,5,0)</f>
        <v>454.5454545454545</v>
      </c>
      <c r="G157" s="231">
        <f t="shared" si="14"/>
        <v>1136.3636363636363</v>
      </c>
      <c r="I157" s="5">
        <f t="shared" si="12"/>
        <v>6</v>
      </c>
    </row>
    <row r="158" spans="1:9" ht="18" customHeight="1">
      <c r="A158" s="169"/>
      <c r="B158" s="189">
        <v>5</v>
      </c>
      <c r="C158" s="191" t="s">
        <v>468</v>
      </c>
      <c r="D158" s="186" t="s">
        <v>80</v>
      </c>
      <c r="E158" s="187">
        <v>5</v>
      </c>
      <c r="F158" s="39">
        <f>VLOOKUP(C158,[1]VL!$B$3:$F$523,5,0)</f>
        <v>499.99999999999994</v>
      </c>
      <c r="G158" s="231">
        <f t="shared" si="14"/>
        <v>2499.9999999999995</v>
      </c>
      <c r="I158" s="5">
        <f t="shared" si="12"/>
        <v>1.2</v>
      </c>
    </row>
    <row r="159" spans="1:9" ht="18" customHeight="1">
      <c r="A159" s="169"/>
      <c r="B159" s="189">
        <v>6</v>
      </c>
      <c r="C159" s="191" t="s">
        <v>196</v>
      </c>
      <c r="D159" s="186" t="s">
        <v>78</v>
      </c>
      <c r="E159" s="187">
        <v>1</v>
      </c>
      <c r="F159" s="39">
        <f>VLOOKUP(C159,[1]VL!$B$3:$F$523,5,0)</f>
        <v>2045.4545454545453</v>
      </c>
      <c r="G159" s="231">
        <f t="shared" si="14"/>
        <v>2045.4545454545453</v>
      </c>
      <c r="I159" s="5">
        <f t="shared" si="12"/>
        <v>1.2</v>
      </c>
    </row>
    <row r="160" spans="1:9" ht="18" customHeight="1">
      <c r="A160" s="169"/>
      <c r="B160" s="189">
        <v>7</v>
      </c>
      <c r="C160" s="191" t="s">
        <v>187</v>
      </c>
      <c r="D160" s="186" t="s">
        <v>78</v>
      </c>
      <c r="E160" s="187">
        <v>1</v>
      </c>
      <c r="F160" s="39">
        <f>VLOOKUP(C160,[1]VL!$B$3:$F$523,5,0)</f>
        <v>2181.8181818181815</v>
      </c>
      <c r="G160" s="231">
        <f t="shared" si="14"/>
        <v>2181.8181818181815</v>
      </c>
      <c r="I160" s="5">
        <f t="shared" si="12"/>
        <v>1.2</v>
      </c>
    </row>
    <row r="161" spans="1:9" ht="18" customHeight="1">
      <c r="A161" s="169"/>
      <c r="B161" s="189">
        <v>8</v>
      </c>
      <c r="C161" s="191" t="s">
        <v>197</v>
      </c>
      <c r="D161" s="186" t="s">
        <v>78</v>
      </c>
      <c r="E161" s="187">
        <v>1</v>
      </c>
      <c r="F161" s="39">
        <f>VLOOKUP(C161,[1]VL!$B$3:$F$523,5,0)</f>
        <v>10909.090909090908</v>
      </c>
      <c r="G161" s="231">
        <f t="shared" si="14"/>
        <v>10909.090909090908</v>
      </c>
      <c r="I161" s="5">
        <f t="shared" si="12"/>
        <v>0.6</v>
      </c>
    </row>
    <row r="162" spans="1:9" ht="18" customHeight="1">
      <c r="A162" s="169"/>
      <c r="B162" s="189">
        <v>9</v>
      </c>
      <c r="C162" s="191" t="s">
        <v>198</v>
      </c>
      <c r="D162" s="186" t="s">
        <v>78</v>
      </c>
      <c r="E162" s="187">
        <v>0.5</v>
      </c>
      <c r="F162" s="39">
        <f>VLOOKUP(C162,[1]VL!$B$3:$F$523,5,0)</f>
        <v>14545.454545454544</v>
      </c>
      <c r="G162" s="231">
        <f t="shared" si="14"/>
        <v>7272.7272727272721</v>
      </c>
      <c r="I162" s="5">
        <f t="shared" si="12"/>
        <v>12</v>
      </c>
    </row>
    <row r="163" spans="1:9" ht="18" customHeight="1">
      <c r="A163" s="169"/>
      <c r="B163" s="189">
        <v>10</v>
      </c>
      <c r="C163" s="191" t="s">
        <v>79</v>
      </c>
      <c r="D163" s="186" t="s">
        <v>80</v>
      </c>
      <c r="E163" s="187">
        <v>10</v>
      </c>
      <c r="F163" s="39">
        <f>VLOOKUP(C163,[1]VL!$B$3:$F$523,5,0)</f>
        <v>31.818181818181817</v>
      </c>
      <c r="G163" s="231">
        <f t="shared" si="14"/>
        <v>318.18181818181819</v>
      </c>
      <c r="I163" s="5">
        <f t="shared" si="12"/>
        <v>0.06</v>
      </c>
    </row>
    <row r="164" spans="1:9" ht="18" customHeight="1">
      <c r="A164" s="169"/>
      <c r="B164" s="189">
        <v>11</v>
      </c>
      <c r="C164" s="227" t="s">
        <v>362</v>
      </c>
      <c r="D164" s="186" t="s">
        <v>49</v>
      </c>
      <c r="E164" s="187">
        <v>0.05</v>
      </c>
      <c r="F164" s="39">
        <f>VLOOKUP(C164,[1]VL!$B$3:$F$523,5,0)</f>
        <v>327272.72727272724</v>
      </c>
      <c r="G164" s="231">
        <f t="shared" si="14"/>
        <v>16363.636363636362</v>
      </c>
      <c r="I164" s="5">
        <f t="shared" si="12"/>
        <v>6.0000000000000001E-3</v>
      </c>
    </row>
    <row r="165" spans="1:9" ht="18" customHeight="1">
      <c r="A165" s="169"/>
      <c r="B165" s="189">
        <v>12</v>
      </c>
      <c r="C165" s="191" t="s">
        <v>81</v>
      </c>
      <c r="D165" s="186" t="s">
        <v>82</v>
      </c>
      <c r="E165" s="187">
        <v>5.0000000000000001E-3</v>
      </c>
      <c r="F165" s="39">
        <f>VLOOKUP(C165,[1]VL!$B$3:$F$523,5,0)</f>
        <v>9090.9090909090901</v>
      </c>
      <c r="G165" s="231">
        <f t="shared" si="14"/>
        <v>45.454545454545453</v>
      </c>
      <c r="I165" s="5">
        <f t="shared" si="12"/>
        <v>1.2E-2</v>
      </c>
    </row>
    <row r="166" spans="1:9" ht="18" customHeight="1">
      <c r="A166" s="169"/>
      <c r="B166" s="189">
        <v>13</v>
      </c>
      <c r="C166" s="191" t="s">
        <v>86</v>
      </c>
      <c r="D166" s="186" t="s">
        <v>49</v>
      </c>
      <c r="E166" s="187">
        <v>0.01</v>
      </c>
      <c r="F166" s="39">
        <f>VLOOKUP(C166,[1]VL!$B$3:$F$523,5,0)</f>
        <v>36363.63636363636</v>
      </c>
      <c r="G166" s="231">
        <f t="shared" si="14"/>
        <v>363.63636363636363</v>
      </c>
      <c r="I166" s="5">
        <f t="shared" si="12"/>
        <v>2.3999999999999998E-3</v>
      </c>
    </row>
    <row r="167" spans="1:9" ht="18" customHeight="1">
      <c r="A167" s="169"/>
      <c r="B167" s="189">
        <v>14</v>
      </c>
      <c r="C167" s="191" t="s">
        <v>101</v>
      </c>
      <c r="D167" s="186" t="s">
        <v>45</v>
      </c>
      <c r="E167" s="187">
        <v>2E-3</v>
      </c>
      <c r="F167" s="39">
        <f>VLOOKUP(C167,[1]VL!$B$3:$F$523,5,0)</f>
        <v>590909.09090909082</v>
      </c>
      <c r="G167" s="231">
        <f t="shared" si="14"/>
        <v>1181.8181818181818</v>
      </c>
      <c r="I167" s="5">
        <f t="shared" si="12"/>
        <v>2.3999999999999998E-3</v>
      </c>
    </row>
    <row r="168" spans="1:9" ht="18" customHeight="1">
      <c r="A168" s="169"/>
      <c r="B168" s="189">
        <v>15</v>
      </c>
      <c r="C168" s="191" t="s">
        <v>102</v>
      </c>
      <c r="D168" s="186" t="s">
        <v>45</v>
      </c>
      <c r="E168" s="187">
        <v>2E-3</v>
      </c>
      <c r="F168" s="39">
        <f>VLOOKUP(C168,[1]VL!$B$3:$F$523,5,0)</f>
        <v>909090.90909090906</v>
      </c>
      <c r="G168" s="231">
        <f t="shared" si="14"/>
        <v>1818.1818181818182</v>
      </c>
      <c r="I168" s="5">
        <f t="shared" si="12"/>
        <v>0</v>
      </c>
    </row>
    <row r="169" spans="1:9" ht="18" customHeight="1">
      <c r="A169" s="169">
        <v>10</v>
      </c>
      <c r="B169" s="129" t="s">
        <v>415</v>
      </c>
      <c r="C169" s="112" t="s">
        <v>390</v>
      </c>
      <c r="D169" s="210"/>
      <c r="E169" s="211"/>
      <c r="F169" s="195"/>
      <c r="G169" s="188">
        <f>SUM(G170:G179)*1.08</f>
        <v>47421.818181818177</v>
      </c>
      <c r="I169" s="5">
        <f t="shared" si="12"/>
        <v>1.2</v>
      </c>
    </row>
    <row r="170" spans="1:9" ht="18" customHeight="1">
      <c r="A170" s="169"/>
      <c r="B170" s="189">
        <v>1</v>
      </c>
      <c r="C170" s="191" t="s">
        <v>85</v>
      </c>
      <c r="D170" s="186" t="s">
        <v>80</v>
      </c>
      <c r="E170" s="187">
        <v>1</v>
      </c>
      <c r="F170" s="39">
        <f>VLOOKUP(C170,[1]VL!$B$3:$F$523,5,0)</f>
        <v>2181.8181818181815</v>
      </c>
      <c r="G170" s="231">
        <f t="shared" ref="G170:G179" si="15">F170*E170</f>
        <v>2181.8181818181815</v>
      </c>
      <c r="I170" s="5">
        <f t="shared" si="12"/>
        <v>12</v>
      </c>
    </row>
    <row r="171" spans="1:9" ht="18" customHeight="1">
      <c r="A171" s="169"/>
      <c r="B171" s="189">
        <v>2</v>
      </c>
      <c r="C171" s="191" t="s">
        <v>194</v>
      </c>
      <c r="D171" s="186" t="s">
        <v>80</v>
      </c>
      <c r="E171" s="187">
        <v>10</v>
      </c>
      <c r="F171" s="39">
        <f>VLOOKUP(C171,[1]VL!$B$3:$F$523,5,0)</f>
        <v>600</v>
      </c>
      <c r="G171" s="231">
        <f t="shared" si="15"/>
        <v>6000</v>
      </c>
      <c r="I171" s="5">
        <f t="shared" si="12"/>
        <v>12</v>
      </c>
    </row>
    <row r="172" spans="1:9" ht="18" customHeight="1">
      <c r="A172" s="169"/>
      <c r="B172" s="189">
        <v>3</v>
      </c>
      <c r="C172" s="191" t="s">
        <v>83</v>
      </c>
      <c r="D172" s="186" t="s">
        <v>78</v>
      </c>
      <c r="E172" s="187">
        <v>10</v>
      </c>
      <c r="F172" s="39">
        <f>VLOOKUP(C172,[1]VL!$B$3:$F$523,5,0)</f>
        <v>890.90909090909088</v>
      </c>
      <c r="G172" s="231">
        <f t="shared" si="15"/>
        <v>8909.0909090909081</v>
      </c>
      <c r="I172" s="5">
        <f t="shared" si="12"/>
        <v>12</v>
      </c>
    </row>
    <row r="173" spans="1:9" ht="18" customHeight="1">
      <c r="A173" s="169"/>
      <c r="B173" s="189">
        <v>4</v>
      </c>
      <c r="C173" s="191" t="s">
        <v>195</v>
      </c>
      <c r="D173" s="186" t="s">
        <v>80</v>
      </c>
      <c r="E173" s="187">
        <v>10</v>
      </c>
      <c r="F173" s="39">
        <f>VLOOKUP(C173,[1]VL!$B$3:$F$523,5,0)</f>
        <v>999.99999999999989</v>
      </c>
      <c r="G173" s="231">
        <f t="shared" si="15"/>
        <v>9999.9999999999982</v>
      </c>
      <c r="I173" s="5">
        <f t="shared" si="12"/>
        <v>12</v>
      </c>
    </row>
    <row r="174" spans="1:9" ht="18" customHeight="1">
      <c r="A174" s="169"/>
      <c r="B174" s="189">
        <v>5</v>
      </c>
      <c r="C174" s="191" t="s">
        <v>79</v>
      </c>
      <c r="D174" s="186" t="s">
        <v>80</v>
      </c>
      <c r="E174" s="187">
        <v>10</v>
      </c>
      <c r="F174" s="39">
        <f>VLOOKUP(C174,[1]VL!$B$3:$F$523,5,0)</f>
        <v>31.818181818181817</v>
      </c>
      <c r="G174" s="231">
        <f t="shared" si="15"/>
        <v>318.18181818181819</v>
      </c>
      <c r="I174" s="5">
        <f t="shared" si="12"/>
        <v>4.8000000000000001E-2</v>
      </c>
    </row>
    <row r="175" spans="1:9" ht="18" customHeight="1">
      <c r="A175" s="169"/>
      <c r="B175" s="189">
        <v>6</v>
      </c>
      <c r="C175" s="227" t="s">
        <v>362</v>
      </c>
      <c r="D175" s="186" t="s">
        <v>49</v>
      </c>
      <c r="E175" s="187">
        <v>0.04</v>
      </c>
      <c r="F175" s="39">
        <f>VLOOKUP(C175,[1]VL!$B$3:$F$523,5,0)</f>
        <v>327272.72727272724</v>
      </c>
      <c r="G175" s="231">
        <f t="shared" si="15"/>
        <v>13090.90909090909</v>
      </c>
      <c r="I175" s="5">
        <f t="shared" si="12"/>
        <v>6.0000000000000001E-3</v>
      </c>
    </row>
    <row r="176" spans="1:9" ht="18" customHeight="1">
      <c r="A176" s="169"/>
      <c r="B176" s="189">
        <v>7</v>
      </c>
      <c r="C176" s="191" t="s">
        <v>81</v>
      </c>
      <c r="D176" s="186" t="s">
        <v>82</v>
      </c>
      <c r="E176" s="187">
        <v>5.0000000000000001E-3</v>
      </c>
      <c r="F176" s="39">
        <f>VLOOKUP(C176,[1]VL!$B$3:$F$523,5,0)</f>
        <v>9090.9090909090901</v>
      </c>
      <c r="G176" s="231">
        <f t="shared" si="15"/>
        <v>45.454545454545453</v>
      </c>
      <c r="I176" s="5">
        <f t="shared" si="12"/>
        <v>1.2E-2</v>
      </c>
    </row>
    <row r="177" spans="1:9" ht="18" customHeight="1">
      <c r="A177" s="169"/>
      <c r="B177" s="189">
        <v>8</v>
      </c>
      <c r="C177" s="191" t="s">
        <v>86</v>
      </c>
      <c r="D177" s="186" t="s">
        <v>49</v>
      </c>
      <c r="E177" s="187">
        <v>0.01</v>
      </c>
      <c r="F177" s="39">
        <f>VLOOKUP(C177,[1]VL!$B$3:$F$523,5,0)</f>
        <v>36363.63636363636</v>
      </c>
      <c r="G177" s="231">
        <f t="shared" si="15"/>
        <v>363.63636363636363</v>
      </c>
      <c r="I177" s="5">
        <f t="shared" si="12"/>
        <v>2.3999999999999998E-3</v>
      </c>
    </row>
    <row r="178" spans="1:9" ht="18" customHeight="1">
      <c r="A178" s="169"/>
      <c r="B178" s="189">
        <v>9</v>
      </c>
      <c r="C178" s="191" t="s">
        <v>101</v>
      </c>
      <c r="D178" s="186" t="s">
        <v>45</v>
      </c>
      <c r="E178" s="187">
        <v>2E-3</v>
      </c>
      <c r="F178" s="39">
        <f>VLOOKUP(C178,[1]VL!$B$3:$F$523,5,0)</f>
        <v>590909.09090909082</v>
      </c>
      <c r="G178" s="231">
        <f t="shared" si="15"/>
        <v>1181.8181818181818</v>
      </c>
      <c r="I178" s="5">
        <f t="shared" si="12"/>
        <v>2.3999999999999998E-3</v>
      </c>
    </row>
    <row r="179" spans="1:9" ht="18" customHeight="1">
      <c r="A179" s="169"/>
      <c r="B179" s="189">
        <v>10</v>
      </c>
      <c r="C179" s="191" t="s">
        <v>102</v>
      </c>
      <c r="D179" s="186" t="s">
        <v>45</v>
      </c>
      <c r="E179" s="187">
        <v>2E-3</v>
      </c>
      <c r="F179" s="39">
        <f>VLOOKUP(C179,[1]VL!$B$3:$F$523,5,0)</f>
        <v>909090.90909090906</v>
      </c>
      <c r="G179" s="231">
        <f t="shared" si="15"/>
        <v>1818.1818181818182</v>
      </c>
      <c r="I179" s="5">
        <f t="shared" si="12"/>
        <v>0</v>
      </c>
    </row>
    <row r="180" spans="1:9" ht="18" customHeight="1">
      <c r="A180" s="169">
        <v>11</v>
      </c>
      <c r="B180" s="241" t="s">
        <v>416</v>
      </c>
      <c r="C180" s="249" t="s">
        <v>397</v>
      </c>
      <c r="D180" s="350" t="s">
        <v>429</v>
      </c>
      <c r="E180" s="351"/>
      <c r="F180" s="352"/>
      <c r="G180" s="188">
        <f>G169</f>
        <v>47421.818181818177</v>
      </c>
      <c r="I180" s="5">
        <f t="shared" si="12"/>
        <v>0</v>
      </c>
    </row>
    <row r="181" spans="1:9" ht="18" customHeight="1">
      <c r="A181" s="169">
        <v>12</v>
      </c>
      <c r="B181" s="241" t="s">
        <v>417</v>
      </c>
      <c r="C181" s="249" t="s">
        <v>398</v>
      </c>
      <c r="D181" s="350" t="s">
        <v>429</v>
      </c>
      <c r="E181" s="351"/>
      <c r="F181" s="352"/>
      <c r="G181" s="188">
        <f>G180</f>
        <v>47421.818181818177</v>
      </c>
      <c r="I181" s="5">
        <f t="shared" si="12"/>
        <v>0</v>
      </c>
    </row>
    <row r="182" spans="1:9" ht="18" customHeight="1">
      <c r="A182" s="169">
        <v>13</v>
      </c>
      <c r="B182" s="241" t="s">
        <v>418</v>
      </c>
      <c r="C182" s="249" t="s">
        <v>405</v>
      </c>
      <c r="D182" s="350" t="s">
        <v>429</v>
      </c>
      <c r="E182" s="351"/>
      <c r="F182" s="352"/>
      <c r="G182" s="188">
        <f>G181</f>
        <v>47421.818181818177</v>
      </c>
      <c r="I182" s="5">
        <f t="shared" si="12"/>
        <v>0</v>
      </c>
    </row>
    <row r="183" spans="1:9" ht="18" customHeight="1">
      <c r="A183" s="169">
        <v>14</v>
      </c>
      <c r="B183" s="241" t="s">
        <v>419</v>
      </c>
      <c r="C183" s="249" t="s">
        <v>399</v>
      </c>
      <c r="D183" s="350" t="s">
        <v>429</v>
      </c>
      <c r="E183" s="351"/>
      <c r="F183" s="352"/>
      <c r="G183" s="188">
        <f>G182</f>
        <v>47421.818181818177</v>
      </c>
      <c r="I183" s="5">
        <f t="shared" si="12"/>
        <v>0</v>
      </c>
    </row>
    <row r="184" spans="1:9" ht="18" customHeight="1">
      <c r="A184" s="169">
        <v>15</v>
      </c>
      <c r="B184" s="241" t="s">
        <v>420</v>
      </c>
      <c r="C184" s="249" t="s">
        <v>401</v>
      </c>
      <c r="D184" s="350" t="s">
        <v>429</v>
      </c>
      <c r="E184" s="351"/>
      <c r="F184" s="352"/>
      <c r="G184" s="188">
        <f t="shared" ref="G184:G189" si="16">G182</f>
        <v>47421.818181818177</v>
      </c>
      <c r="I184" s="5">
        <f t="shared" si="12"/>
        <v>0</v>
      </c>
    </row>
    <row r="185" spans="1:9" ht="18" customHeight="1">
      <c r="A185" s="169">
        <v>16</v>
      </c>
      <c r="B185" s="241" t="s">
        <v>421</v>
      </c>
      <c r="C185" s="249" t="s">
        <v>400</v>
      </c>
      <c r="D185" s="350" t="s">
        <v>429</v>
      </c>
      <c r="E185" s="351"/>
      <c r="F185" s="352"/>
      <c r="G185" s="188">
        <f t="shared" si="16"/>
        <v>47421.818181818177</v>
      </c>
      <c r="I185" s="5">
        <f t="shared" si="12"/>
        <v>0</v>
      </c>
    </row>
    <row r="186" spans="1:9" ht="18" customHeight="1">
      <c r="A186" s="169">
        <v>17</v>
      </c>
      <c r="B186" s="241" t="s">
        <v>422</v>
      </c>
      <c r="C186" s="249" t="s">
        <v>402</v>
      </c>
      <c r="D186" s="350" t="s">
        <v>429</v>
      </c>
      <c r="E186" s="351"/>
      <c r="F186" s="352"/>
      <c r="G186" s="188">
        <f t="shared" si="16"/>
        <v>47421.818181818177</v>
      </c>
      <c r="I186" s="5">
        <f t="shared" si="12"/>
        <v>0</v>
      </c>
    </row>
    <row r="187" spans="1:9" ht="18" customHeight="1">
      <c r="A187" s="169">
        <v>18</v>
      </c>
      <c r="B187" s="241" t="s">
        <v>423</v>
      </c>
      <c r="C187" s="249" t="s">
        <v>403</v>
      </c>
      <c r="D187" s="350" t="s">
        <v>429</v>
      </c>
      <c r="E187" s="351"/>
      <c r="F187" s="352"/>
      <c r="G187" s="188">
        <f t="shared" si="16"/>
        <v>47421.818181818177</v>
      </c>
      <c r="I187" s="5">
        <f t="shared" si="12"/>
        <v>0</v>
      </c>
    </row>
    <row r="188" spans="1:9" ht="18" customHeight="1">
      <c r="A188" s="169">
        <v>19</v>
      </c>
      <c r="B188" s="241" t="s">
        <v>424</v>
      </c>
      <c r="C188" s="249" t="s">
        <v>404</v>
      </c>
      <c r="D188" s="350" t="s">
        <v>429</v>
      </c>
      <c r="E188" s="351"/>
      <c r="F188" s="352"/>
      <c r="G188" s="188">
        <f t="shared" si="16"/>
        <v>47421.818181818177</v>
      </c>
      <c r="I188" s="5">
        <f t="shared" si="12"/>
        <v>0</v>
      </c>
    </row>
    <row r="189" spans="1:9" ht="18" customHeight="1">
      <c r="A189" s="169">
        <v>20</v>
      </c>
      <c r="B189" s="241" t="s">
        <v>425</v>
      </c>
      <c r="C189" s="249" t="s">
        <v>406</v>
      </c>
      <c r="D189" s="350" t="s">
        <v>429</v>
      </c>
      <c r="E189" s="351"/>
      <c r="F189" s="352"/>
      <c r="G189" s="188">
        <f t="shared" si="16"/>
        <v>47421.818181818177</v>
      </c>
      <c r="I189" s="5">
        <f t="shared" si="12"/>
        <v>0</v>
      </c>
    </row>
    <row r="190" spans="1:9" ht="18" customHeight="1">
      <c r="A190" s="169">
        <v>21</v>
      </c>
      <c r="B190" s="241" t="s">
        <v>432</v>
      </c>
      <c r="C190" s="249" t="s">
        <v>433</v>
      </c>
      <c r="D190" s="350" t="s">
        <v>429</v>
      </c>
      <c r="E190" s="351"/>
      <c r="F190" s="352"/>
      <c r="G190" s="188">
        <f>G189</f>
        <v>47421.818181818177</v>
      </c>
      <c r="I190" s="5">
        <f t="shared" si="12"/>
        <v>0</v>
      </c>
    </row>
    <row r="191" spans="1:9" ht="18" customHeight="1">
      <c r="A191" s="169">
        <v>22</v>
      </c>
      <c r="B191" s="165" t="s">
        <v>217</v>
      </c>
      <c r="C191" s="192" t="s">
        <v>4</v>
      </c>
      <c r="D191" s="193"/>
      <c r="E191" s="194"/>
      <c r="F191" s="195"/>
      <c r="G191" s="188">
        <f>SUM(G192:G202)*1.08</f>
        <v>204960.43636363634</v>
      </c>
      <c r="I191" s="5">
        <f t="shared" si="12"/>
        <v>4.8</v>
      </c>
    </row>
    <row r="192" spans="1:9" ht="18" customHeight="1">
      <c r="A192" s="169"/>
      <c r="B192" s="189">
        <v>1</v>
      </c>
      <c r="C192" s="191" t="s">
        <v>468</v>
      </c>
      <c r="D192" s="186" t="s">
        <v>80</v>
      </c>
      <c r="E192" s="187">
        <v>4</v>
      </c>
      <c r="F192" s="39">
        <f>VLOOKUP(C192,[1]VL!$B$3:$F$523,5,0)</f>
        <v>499.99999999999994</v>
      </c>
      <c r="G192" s="231">
        <f t="shared" ref="G192:G202" si="17">F192*E192</f>
        <v>1999.9999999999998</v>
      </c>
      <c r="I192" s="5">
        <f t="shared" si="12"/>
        <v>0.24</v>
      </c>
    </row>
    <row r="193" spans="1:9" ht="18" customHeight="1">
      <c r="A193" s="169"/>
      <c r="B193" s="189">
        <v>2</v>
      </c>
      <c r="C193" s="191" t="s">
        <v>83</v>
      </c>
      <c r="D193" s="186" t="s">
        <v>78</v>
      </c>
      <c r="E193" s="187">
        <v>0.2</v>
      </c>
      <c r="F193" s="39">
        <f>VLOOKUP(C193,[1]VL!$B$3:$F$523,5,0)</f>
        <v>890.90909090909088</v>
      </c>
      <c r="G193" s="231">
        <f t="shared" si="17"/>
        <v>178.18181818181819</v>
      </c>
      <c r="I193" s="5">
        <f t="shared" si="12"/>
        <v>180</v>
      </c>
    </row>
    <row r="194" spans="1:9" ht="18" customHeight="1">
      <c r="A194" s="169"/>
      <c r="B194" s="189">
        <v>3</v>
      </c>
      <c r="C194" s="191" t="s">
        <v>84</v>
      </c>
      <c r="D194" s="186" t="s">
        <v>80</v>
      </c>
      <c r="E194" s="187">
        <v>150</v>
      </c>
      <c r="F194" s="39">
        <f>VLOOKUP(C194,[1]VL!$B$3:$F$523,5,0)</f>
        <v>636.36363636363626</v>
      </c>
      <c r="G194" s="231">
        <f t="shared" si="17"/>
        <v>95454.545454545441</v>
      </c>
      <c r="I194" s="5">
        <f t="shared" si="12"/>
        <v>36</v>
      </c>
    </row>
    <row r="195" spans="1:9" ht="18" customHeight="1">
      <c r="A195" s="169"/>
      <c r="B195" s="189">
        <v>4</v>
      </c>
      <c r="C195" s="199" t="s">
        <v>110</v>
      </c>
      <c r="D195" s="186" t="s">
        <v>80</v>
      </c>
      <c r="E195" s="187">
        <v>30</v>
      </c>
      <c r="F195" s="39">
        <f>VLOOKUP(C195,[1]VL!$B$3:$F$523,5,0)</f>
        <v>1454.5454545454545</v>
      </c>
      <c r="G195" s="231">
        <f t="shared" si="17"/>
        <v>43636.363636363632</v>
      </c>
      <c r="I195" s="5">
        <f t="shared" si="12"/>
        <v>24</v>
      </c>
    </row>
    <row r="196" spans="1:9" ht="18" customHeight="1">
      <c r="A196" s="169"/>
      <c r="B196" s="189">
        <v>5</v>
      </c>
      <c r="C196" s="191" t="s">
        <v>182</v>
      </c>
      <c r="D196" s="186" t="s">
        <v>78</v>
      </c>
      <c r="E196" s="187">
        <v>20</v>
      </c>
      <c r="F196" s="39">
        <f>VLOOKUP(C196,[1]VL!$B$3:$F$523,5,0)</f>
        <v>490.90909090909088</v>
      </c>
      <c r="G196" s="231">
        <f t="shared" si="17"/>
        <v>9818.181818181818</v>
      </c>
      <c r="I196" s="5">
        <f t="shared" si="12"/>
        <v>0.48</v>
      </c>
    </row>
    <row r="197" spans="1:9" ht="18" customHeight="1">
      <c r="A197" s="169"/>
      <c r="B197" s="189">
        <v>6</v>
      </c>
      <c r="C197" s="191" t="s">
        <v>85</v>
      </c>
      <c r="D197" s="186" t="s">
        <v>80</v>
      </c>
      <c r="E197" s="187">
        <v>0.4</v>
      </c>
      <c r="F197" s="39">
        <f>VLOOKUP(C197,[1]VL!$B$3:$F$523,5,0)</f>
        <v>2181.8181818181815</v>
      </c>
      <c r="G197" s="231">
        <f t="shared" si="17"/>
        <v>872.72727272727263</v>
      </c>
      <c r="I197" s="5">
        <f t="shared" si="12"/>
        <v>12</v>
      </c>
    </row>
    <row r="198" spans="1:9" ht="18" customHeight="1">
      <c r="A198" s="169"/>
      <c r="B198" s="189">
        <v>7</v>
      </c>
      <c r="C198" s="191" t="s">
        <v>79</v>
      </c>
      <c r="D198" s="186" t="s">
        <v>80</v>
      </c>
      <c r="E198" s="187">
        <v>10</v>
      </c>
      <c r="F198" s="39">
        <f>VLOOKUP(C198,[1]VL!$B$3:$F$523,5,0)</f>
        <v>31.818181818181817</v>
      </c>
      <c r="G198" s="231">
        <f t="shared" si="17"/>
        <v>318.18181818181819</v>
      </c>
      <c r="I198" s="5">
        <f t="shared" si="12"/>
        <v>0.12</v>
      </c>
    </row>
    <row r="199" spans="1:9" ht="18" customHeight="1">
      <c r="A199" s="169"/>
      <c r="B199" s="189">
        <v>8</v>
      </c>
      <c r="C199" s="191" t="s">
        <v>87</v>
      </c>
      <c r="D199" s="186" t="s">
        <v>49</v>
      </c>
      <c r="E199" s="187">
        <v>0.1</v>
      </c>
      <c r="F199" s="39">
        <f>VLOOKUP(C199,[1]VL!$B$3:$F$523,5,0)</f>
        <v>109090.90909090909</v>
      </c>
      <c r="G199" s="231">
        <f t="shared" si="17"/>
        <v>10909.09090909091</v>
      </c>
      <c r="I199" s="5">
        <f t="shared" ref="I199:I262" si="18">E200*1.2</f>
        <v>9.6000000000000002E-2</v>
      </c>
    </row>
    <row r="200" spans="1:9" ht="18" customHeight="1">
      <c r="A200" s="169"/>
      <c r="B200" s="189">
        <v>9</v>
      </c>
      <c r="C200" s="227" t="s">
        <v>362</v>
      </c>
      <c r="D200" s="186" t="s">
        <v>49</v>
      </c>
      <c r="E200" s="187">
        <v>0.08</v>
      </c>
      <c r="F200" s="39">
        <f>VLOOKUP(C200,[1]VL!$B$3:$F$523,5,0)</f>
        <v>327272.72727272724</v>
      </c>
      <c r="G200" s="231">
        <f t="shared" si="17"/>
        <v>26181.81818181818</v>
      </c>
      <c r="I200" s="5">
        <f t="shared" si="18"/>
        <v>6.0000000000000001E-3</v>
      </c>
    </row>
    <row r="201" spans="1:9" ht="18" customHeight="1">
      <c r="A201" s="169"/>
      <c r="B201" s="189">
        <v>10</v>
      </c>
      <c r="C201" s="191" t="s">
        <v>81</v>
      </c>
      <c r="D201" s="186" t="s">
        <v>82</v>
      </c>
      <c r="E201" s="187">
        <v>5.0000000000000001E-3</v>
      </c>
      <c r="F201" s="39">
        <f>VLOOKUP(C201,[1]VL!$B$3:$F$523,5,0)</f>
        <v>9090.9090909090901</v>
      </c>
      <c r="G201" s="231">
        <f t="shared" si="17"/>
        <v>45.454545454545453</v>
      </c>
      <c r="I201" s="5">
        <f t="shared" si="18"/>
        <v>1.2E-2</v>
      </c>
    </row>
    <row r="202" spans="1:9" ht="18" customHeight="1">
      <c r="A202" s="169"/>
      <c r="B202" s="189">
        <v>11</v>
      </c>
      <c r="C202" s="191" t="s">
        <v>86</v>
      </c>
      <c r="D202" s="186" t="s">
        <v>49</v>
      </c>
      <c r="E202" s="187">
        <v>0.01</v>
      </c>
      <c r="F202" s="39">
        <f>VLOOKUP(C202,[1]VL!$B$3:$F$523,5,0)</f>
        <v>36363.63636363636</v>
      </c>
      <c r="G202" s="231">
        <f t="shared" si="17"/>
        <v>363.63636363636363</v>
      </c>
      <c r="I202" s="5">
        <f t="shared" si="18"/>
        <v>0</v>
      </c>
    </row>
    <row r="203" spans="1:9" ht="18" customHeight="1">
      <c r="A203" s="169">
        <v>23</v>
      </c>
      <c r="B203" s="165" t="s">
        <v>320</v>
      </c>
      <c r="C203" s="192" t="s">
        <v>91</v>
      </c>
      <c r="D203" s="193"/>
      <c r="E203" s="194"/>
      <c r="F203" s="195"/>
      <c r="G203" s="188">
        <f>SUM(G204:G221)*1.08</f>
        <v>137523.27272727274</v>
      </c>
      <c r="I203" s="5">
        <f t="shared" si="18"/>
        <v>0.36</v>
      </c>
    </row>
    <row r="204" spans="1:9" ht="18" customHeight="1">
      <c r="A204" s="169"/>
      <c r="B204" s="189">
        <v>1</v>
      </c>
      <c r="C204" s="199" t="s">
        <v>189</v>
      </c>
      <c r="D204" s="186" t="s">
        <v>95</v>
      </c>
      <c r="E204" s="187">
        <v>0.3</v>
      </c>
      <c r="F204" s="39">
        <f>VLOOKUP(C204,[1]VL!$B$3:$F$523,5,0)</f>
        <v>7636.363636363636</v>
      </c>
      <c r="G204" s="231">
        <f t="shared" ref="G204:G211" si="19">F204*E204</f>
        <v>2290.9090909090905</v>
      </c>
      <c r="I204" s="5">
        <f t="shared" si="18"/>
        <v>120</v>
      </c>
    </row>
    <row r="205" spans="1:9" ht="18" customHeight="1">
      <c r="A205" s="169"/>
      <c r="B205" s="189">
        <v>2</v>
      </c>
      <c r="C205" s="212" t="s">
        <v>255</v>
      </c>
      <c r="D205" s="213" t="s">
        <v>80</v>
      </c>
      <c r="E205" s="214">
        <v>100</v>
      </c>
      <c r="F205" s="39">
        <f>VLOOKUP(C205,[1]VL!$B$3:$F$523,5,0)</f>
        <v>681.81818181818176</v>
      </c>
      <c r="G205" s="231">
        <f t="shared" ref="G205" si="20">F205*E205</f>
        <v>68181.818181818177</v>
      </c>
      <c r="I205" s="5">
        <f t="shared" si="18"/>
        <v>0.96</v>
      </c>
    </row>
    <row r="206" spans="1:9" ht="18" customHeight="1">
      <c r="A206" s="169"/>
      <c r="B206" s="189">
        <v>3</v>
      </c>
      <c r="C206" s="199" t="s">
        <v>92</v>
      </c>
      <c r="D206" s="186" t="s">
        <v>95</v>
      </c>
      <c r="E206" s="187">
        <v>0.8</v>
      </c>
      <c r="F206" s="39">
        <f>VLOOKUP(C206,[1]VL!$B$3:$F$523,5,0)</f>
        <v>21818.181818181816</v>
      </c>
      <c r="G206" s="231">
        <f t="shared" si="19"/>
        <v>17454.545454545452</v>
      </c>
      <c r="I206" s="5">
        <f t="shared" si="18"/>
        <v>0.36</v>
      </c>
    </row>
    <row r="207" spans="1:9" ht="18" customHeight="1">
      <c r="A207" s="169"/>
      <c r="B207" s="189">
        <v>4</v>
      </c>
      <c r="C207" s="199" t="s">
        <v>180</v>
      </c>
      <c r="D207" s="186" t="s">
        <v>95</v>
      </c>
      <c r="E207" s="187">
        <v>0.3</v>
      </c>
      <c r="F207" s="39">
        <f>VLOOKUP(C207,[1]VL!$B$3:$F$523,5,0)</f>
        <v>727.27272727272725</v>
      </c>
      <c r="G207" s="231">
        <f t="shared" si="19"/>
        <v>218.18181818181816</v>
      </c>
      <c r="I207" s="5">
        <f t="shared" si="18"/>
        <v>2.4</v>
      </c>
    </row>
    <row r="208" spans="1:9" ht="18" customHeight="1">
      <c r="A208" s="169"/>
      <c r="B208" s="189">
        <v>5</v>
      </c>
      <c r="C208" s="215" t="s">
        <v>190</v>
      </c>
      <c r="D208" s="186" t="s">
        <v>95</v>
      </c>
      <c r="E208" s="187">
        <v>2</v>
      </c>
      <c r="F208" s="39">
        <f>VLOOKUP(C208,[1]VL!$B$3:$F$523,5,0)</f>
        <v>2545.454545454545</v>
      </c>
      <c r="G208" s="231">
        <f t="shared" si="19"/>
        <v>5090.9090909090901</v>
      </c>
      <c r="I208" s="5">
        <f t="shared" si="18"/>
        <v>4.8</v>
      </c>
    </row>
    <row r="209" spans="1:9" ht="18" customHeight="1">
      <c r="A209" s="169"/>
      <c r="B209" s="189">
        <v>6</v>
      </c>
      <c r="C209" s="199" t="s">
        <v>191</v>
      </c>
      <c r="D209" s="186" t="s">
        <v>96</v>
      </c>
      <c r="E209" s="187">
        <v>4</v>
      </c>
      <c r="F209" s="39">
        <f>VLOOKUP(C209,[1]VL!$B$3:$F$523,5,0)</f>
        <v>227.27272727272725</v>
      </c>
      <c r="G209" s="231">
        <f t="shared" si="19"/>
        <v>909.09090909090901</v>
      </c>
      <c r="I209" s="5">
        <f t="shared" si="18"/>
        <v>0.18</v>
      </c>
    </row>
    <row r="210" spans="1:9" ht="18" customHeight="1">
      <c r="A210" s="169"/>
      <c r="B210" s="189">
        <v>7</v>
      </c>
      <c r="C210" s="215" t="s">
        <v>93</v>
      </c>
      <c r="D210" s="186" t="s">
        <v>95</v>
      </c>
      <c r="E210" s="187">
        <v>0.15</v>
      </c>
      <c r="F210" s="39">
        <f>VLOOKUP(C210,[1]VL!$B$3:$F$523,5,0)</f>
        <v>1999.9999999999998</v>
      </c>
      <c r="G210" s="231">
        <f t="shared" si="19"/>
        <v>299.99999999999994</v>
      </c>
      <c r="I210" s="5">
        <f t="shared" si="18"/>
        <v>12</v>
      </c>
    </row>
    <row r="211" spans="1:9" ht="18" customHeight="1">
      <c r="A211" s="169"/>
      <c r="B211" s="189">
        <v>8</v>
      </c>
      <c r="C211" s="191" t="s">
        <v>468</v>
      </c>
      <c r="D211" s="186" t="s">
        <v>96</v>
      </c>
      <c r="E211" s="187">
        <v>10</v>
      </c>
      <c r="F211" s="39">
        <f>VLOOKUP(C211,[1]VL!$B$3:$F$523,5,0)</f>
        <v>499.99999999999994</v>
      </c>
      <c r="G211" s="231">
        <f t="shared" si="19"/>
        <v>4999.9999999999991</v>
      </c>
      <c r="I211" s="5">
        <f t="shared" si="18"/>
        <v>2.4</v>
      </c>
    </row>
    <row r="212" spans="1:9" ht="18" customHeight="1">
      <c r="A212" s="169"/>
      <c r="B212" s="189">
        <v>9</v>
      </c>
      <c r="C212" s="199" t="s">
        <v>90</v>
      </c>
      <c r="D212" s="186" t="s">
        <v>95</v>
      </c>
      <c r="E212" s="187">
        <v>2</v>
      </c>
      <c r="F212" s="39">
        <f>VLOOKUP(C212,[1]VL!$B$3:$F$523,5,0)</f>
        <v>5454.545454545454</v>
      </c>
      <c r="G212" s="231">
        <f t="shared" ref="G212:G221" si="21">F212*E212</f>
        <v>10909.090909090908</v>
      </c>
      <c r="I212" s="5">
        <f t="shared" si="18"/>
        <v>2.4</v>
      </c>
    </row>
    <row r="213" spans="1:9" ht="18" customHeight="1">
      <c r="A213" s="169"/>
      <c r="B213" s="189">
        <v>10</v>
      </c>
      <c r="C213" s="199" t="s">
        <v>192</v>
      </c>
      <c r="D213" s="186" t="s">
        <v>95</v>
      </c>
      <c r="E213" s="187">
        <v>2</v>
      </c>
      <c r="F213" s="39">
        <f>VLOOKUP(C213,[1]VL!$B$3:$F$523,5,0)</f>
        <v>545.45454545454538</v>
      </c>
      <c r="G213" s="231">
        <f t="shared" si="21"/>
        <v>1090.9090909090908</v>
      </c>
      <c r="I213" s="5">
        <f t="shared" si="18"/>
        <v>2.2799999999999998</v>
      </c>
    </row>
    <row r="214" spans="1:9" ht="18" customHeight="1">
      <c r="A214" s="169"/>
      <c r="B214" s="189">
        <v>11</v>
      </c>
      <c r="C214" s="199" t="s">
        <v>193</v>
      </c>
      <c r="D214" s="186" t="s">
        <v>95</v>
      </c>
      <c r="E214" s="187">
        <v>1.9</v>
      </c>
      <c r="F214" s="39">
        <f>VLOOKUP(C214,[1]VL!$B$3:$F$523,5,0)</f>
        <v>1999.9999999999998</v>
      </c>
      <c r="G214" s="231">
        <f t="shared" si="21"/>
        <v>3799.9999999999995</v>
      </c>
      <c r="I214" s="5">
        <f t="shared" si="18"/>
        <v>2.4</v>
      </c>
    </row>
    <row r="215" spans="1:9" ht="18" customHeight="1">
      <c r="A215" s="169"/>
      <c r="B215" s="189">
        <v>12</v>
      </c>
      <c r="C215" s="199" t="s">
        <v>188</v>
      </c>
      <c r="D215" s="186" t="s">
        <v>96</v>
      </c>
      <c r="E215" s="187">
        <v>2</v>
      </c>
      <c r="F215" s="39">
        <f>VLOOKUP(C215,[1]VL!$B$3:$F$523,5,0)</f>
        <v>399.99999999999994</v>
      </c>
      <c r="G215" s="231">
        <f t="shared" si="21"/>
        <v>799.99999999999989</v>
      </c>
      <c r="I215" s="5">
        <f t="shared" si="18"/>
        <v>4.8</v>
      </c>
    </row>
    <row r="216" spans="1:9" ht="18" customHeight="1">
      <c r="A216" s="169"/>
      <c r="B216" s="189">
        <v>13</v>
      </c>
      <c r="C216" s="199" t="s">
        <v>83</v>
      </c>
      <c r="D216" s="186" t="s">
        <v>95</v>
      </c>
      <c r="E216" s="187">
        <v>4</v>
      </c>
      <c r="F216" s="39">
        <f>VLOOKUP(C216,[1]VL!$B$3:$F$523,5,0)</f>
        <v>890.90909090909088</v>
      </c>
      <c r="G216" s="231">
        <f t="shared" si="21"/>
        <v>3563.6363636363635</v>
      </c>
      <c r="I216" s="5">
        <f t="shared" si="18"/>
        <v>0.24</v>
      </c>
    </row>
    <row r="217" spans="1:9" ht="18" customHeight="1">
      <c r="A217" s="169"/>
      <c r="B217" s="189">
        <v>14</v>
      </c>
      <c r="C217" s="199" t="s">
        <v>94</v>
      </c>
      <c r="D217" s="186" t="s">
        <v>95</v>
      </c>
      <c r="E217" s="187">
        <v>0.2</v>
      </c>
      <c r="F217" s="39">
        <f>VLOOKUP(C217,[1]VL!$B$3:$F$523,5,0)</f>
        <v>2272.7272727272725</v>
      </c>
      <c r="G217" s="231">
        <f t="shared" si="21"/>
        <v>454.5454545454545</v>
      </c>
      <c r="I217" s="5">
        <f t="shared" si="18"/>
        <v>12</v>
      </c>
    </row>
    <row r="218" spans="1:9" ht="18" customHeight="1">
      <c r="A218" s="169"/>
      <c r="B218" s="189">
        <v>15</v>
      </c>
      <c r="C218" s="199" t="s">
        <v>79</v>
      </c>
      <c r="D218" s="186" t="s">
        <v>80</v>
      </c>
      <c r="E218" s="187">
        <v>10</v>
      </c>
      <c r="F218" s="39">
        <f>VLOOKUP(C218,[1]VL!$B$3:$F$523,5,0)</f>
        <v>31.818181818181817</v>
      </c>
      <c r="G218" s="231">
        <f t="shared" si="21"/>
        <v>318.18181818181819</v>
      </c>
      <c r="I218" s="5">
        <f t="shared" si="18"/>
        <v>2.4E-2</v>
      </c>
    </row>
    <row r="219" spans="1:9" ht="18" customHeight="1">
      <c r="A219" s="169"/>
      <c r="B219" s="189">
        <v>16</v>
      </c>
      <c r="C219" s="227" t="s">
        <v>362</v>
      </c>
      <c r="D219" s="186" t="s">
        <v>49</v>
      </c>
      <c r="E219" s="187">
        <v>0.02</v>
      </c>
      <c r="F219" s="39">
        <f>VLOOKUP(C219,[1]VL!$B$3:$F$523,5,0)</f>
        <v>327272.72727272724</v>
      </c>
      <c r="G219" s="231">
        <f t="shared" si="21"/>
        <v>6545.454545454545</v>
      </c>
      <c r="I219" s="5">
        <f t="shared" si="18"/>
        <v>1.2E-2</v>
      </c>
    </row>
    <row r="220" spans="1:9" ht="18" customHeight="1">
      <c r="A220" s="169"/>
      <c r="B220" s="189">
        <v>17</v>
      </c>
      <c r="C220" s="199" t="s">
        <v>86</v>
      </c>
      <c r="D220" s="186" t="s">
        <v>49</v>
      </c>
      <c r="E220" s="187">
        <v>0.01</v>
      </c>
      <c r="F220" s="39">
        <f>VLOOKUP(C220,[1]VL!$B$3:$F$523,5,0)</f>
        <v>36363.63636363636</v>
      </c>
      <c r="G220" s="231">
        <f t="shared" si="21"/>
        <v>363.63636363636363</v>
      </c>
      <c r="I220" s="5">
        <f t="shared" si="18"/>
        <v>6.0000000000000001E-3</v>
      </c>
    </row>
    <row r="221" spans="1:9" ht="18" customHeight="1">
      <c r="A221" s="169"/>
      <c r="B221" s="189">
        <v>18</v>
      </c>
      <c r="C221" s="199" t="s">
        <v>81</v>
      </c>
      <c r="D221" s="186" t="s">
        <v>82</v>
      </c>
      <c r="E221" s="187">
        <v>5.0000000000000001E-3</v>
      </c>
      <c r="F221" s="39">
        <f>VLOOKUP(C221,[1]VL!$B$3:$F$523,5,0)</f>
        <v>9090.9090909090901</v>
      </c>
      <c r="G221" s="231">
        <f t="shared" si="21"/>
        <v>45.454545454545453</v>
      </c>
      <c r="I221" s="5">
        <f t="shared" si="18"/>
        <v>0</v>
      </c>
    </row>
    <row r="222" spans="1:9" ht="25.5" customHeight="1">
      <c r="A222" s="169">
        <v>24</v>
      </c>
      <c r="B222" s="169" t="s">
        <v>326</v>
      </c>
      <c r="C222" s="359" t="s">
        <v>215</v>
      </c>
      <c r="D222" s="360"/>
      <c r="E222" s="361"/>
      <c r="F222" s="195"/>
      <c r="G222" s="188">
        <f>SUM(G223:G239)*1.08</f>
        <v>996059.45454545447</v>
      </c>
      <c r="I222" s="5">
        <f t="shared" si="18"/>
        <v>6.0000000000000001E-3</v>
      </c>
    </row>
    <row r="223" spans="1:9" ht="18" customHeight="1">
      <c r="A223" s="169"/>
      <c r="B223" s="189">
        <v>1</v>
      </c>
      <c r="C223" s="199" t="s">
        <v>107</v>
      </c>
      <c r="D223" s="186" t="s">
        <v>96</v>
      </c>
      <c r="E223" s="187">
        <v>5.0000000000000001E-3</v>
      </c>
      <c r="F223" s="39">
        <f>VLOOKUP(C223,[1]VL!$B$3:$F$523,5,0)</f>
        <v>15454545.454545453</v>
      </c>
      <c r="G223" s="231">
        <f t="shared" ref="G223:G292" si="22">F223*E223</f>
        <v>77272.727272727265</v>
      </c>
      <c r="I223" s="5">
        <f t="shared" si="18"/>
        <v>6.0000000000000001E-3</v>
      </c>
    </row>
    <row r="224" spans="1:9" ht="18" customHeight="1">
      <c r="A224" s="169"/>
      <c r="B224" s="189">
        <v>2</v>
      </c>
      <c r="C224" s="199" t="s">
        <v>108</v>
      </c>
      <c r="D224" s="186" t="s">
        <v>96</v>
      </c>
      <c r="E224" s="187">
        <v>5.0000000000000001E-3</v>
      </c>
      <c r="F224" s="39">
        <f>VLOOKUP(C224,[1]VL!$B$3:$F$523,5,0)</f>
        <v>13181818.181818182</v>
      </c>
      <c r="G224" s="231">
        <f t="shared" si="22"/>
        <v>65909.090909090912</v>
      </c>
      <c r="I224" s="5">
        <f t="shared" si="18"/>
        <v>180</v>
      </c>
    </row>
    <row r="225" spans="1:9" ht="18" customHeight="1">
      <c r="A225" s="169"/>
      <c r="B225" s="189">
        <v>3</v>
      </c>
      <c r="C225" s="199" t="s">
        <v>199</v>
      </c>
      <c r="D225" s="186" t="s">
        <v>96</v>
      </c>
      <c r="E225" s="187">
        <v>150</v>
      </c>
      <c r="F225" s="39">
        <f>VLOOKUP(C225,[1]VL!$B$3:$F$523,5,0)</f>
        <v>409.09090909090907</v>
      </c>
      <c r="G225" s="231">
        <f t="shared" si="22"/>
        <v>61363.63636363636</v>
      </c>
      <c r="I225" s="5">
        <f t="shared" si="18"/>
        <v>180</v>
      </c>
    </row>
    <row r="226" spans="1:9" ht="18" customHeight="1">
      <c r="A226" s="169"/>
      <c r="B226" s="189">
        <v>4</v>
      </c>
      <c r="C226" s="199" t="s">
        <v>109</v>
      </c>
      <c r="D226" s="186" t="s">
        <v>96</v>
      </c>
      <c r="E226" s="187">
        <v>150</v>
      </c>
      <c r="F226" s="39">
        <f>VLOOKUP(C226,[1]VL!$B$3:$F$523,5,0)</f>
        <v>363.63636363636363</v>
      </c>
      <c r="G226" s="231">
        <f t="shared" si="22"/>
        <v>54545.454545454544</v>
      </c>
      <c r="I226" s="5">
        <f t="shared" si="18"/>
        <v>360</v>
      </c>
    </row>
    <row r="227" spans="1:9" ht="18" customHeight="1">
      <c r="A227" s="169"/>
      <c r="B227" s="189">
        <v>5</v>
      </c>
      <c r="C227" s="199" t="s">
        <v>110</v>
      </c>
      <c r="D227" s="186" t="s">
        <v>96</v>
      </c>
      <c r="E227" s="187">
        <v>300</v>
      </c>
      <c r="F227" s="39">
        <f>VLOOKUP(C227,[1]VL!$B$3:$F$523,5,0)</f>
        <v>1454.5454545454545</v>
      </c>
      <c r="G227" s="231">
        <f t="shared" si="22"/>
        <v>436363.63636363635</v>
      </c>
      <c r="I227" s="5">
        <f t="shared" si="18"/>
        <v>60</v>
      </c>
    </row>
    <row r="228" spans="1:9" ht="18" customHeight="1">
      <c r="A228" s="169"/>
      <c r="B228" s="189">
        <v>6</v>
      </c>
      <c r="C228" s="199" t="s">
        <v>182</v>
      </c>
      <c r="D228" s="186" t="s">
        <v>95</v>
      </c>
      <c r="E228" s="187">
        <v>50</v>
      </c>
      <c r="F228" s="39">
        <f>VLOOKUP(C228,[1]VL!$B$3:$F$523,5,0)</f>
        <v>490.90909090909088</v>
      </c>
      <c r="G228" s="231">
        <f t="shared" si="22"/>
        <v>24545.454545454544</v>
      </c>
      <c r="I228" s="5">
        <f t="shared" si="18"/>
        <v>1.2</v>
      </c>
    </row>
    <row r="229" spans="1:9" ht="18" customHeight="1">
      <c r="A229" s="169"/>
      <c r="B229" s="189">
        <v>7</v>
      </c>
      <c r="C229" s="199" t="s">
        <v>349</v>
      </c>
      <c r="D229" s="186" t="s">
        <v>50</v>
      </c>
      <c r="E229" s="187">
        <v>1</v>
      </c>
      <c r="F229" s="39">
        <f>VLOOKUP(C229,[1]VL!$B$3:$F$523,5,0)</f>
        <v>109090.90909090909</v>
      </c>
      <c r="G229" s="231">
        <f t="shared" si="22"/>
        <v>109090.90909090909</v>
      </c>
      <c r="I229" s="5">
        <f t="shared" si="18"/>
        <v>1.2</v>
      </c>
    </row>
    <row r="230" spans="1:9" ht="18" customHeight="1">
      <c r="A230" s="169"/>
      <c r="B230" s="189">
        <v>8</v>
      </c>
      <c r="C230" s="199" t="s">
        <v>111</v>
      </c>
      <c r="D230" s="186" t="s">
        <v>50</v>
      </c>
      <c r="E230" s="187">
        <v>1</v>
      </c>
      <c r="F230" s="39">
        <f>VLOOKUP(C230,[1]VL!$B$3:$F$523,5,0)</f>
        <v>6818.181818181818</v>
      </c>
      <c r="G230" s="231">
        <f t="shared" si="22"/>
        <v>6818.181818181818</v>
      </c>
      <c r="I230" s="5">
        <f t="shared" si="18"/>
        <v>1.2</v>
      </c>
    </row>
    <row r="231" spans="1:9" ht="18" customHeight="1">
      <c r="A231" s="169"/>
      <c r="B231" s="189">
        <v>9</v>
      </c>
      <c r="C231" s="199" t="s">
        <v>112</v>
      </c>
      <c r="D231" s="186" t="s">
        <v>50</v>
      </c>
      <c r="E231" s="187">
        <v>1</v>
      </c>
      <c r="F231" s="39">
        <f>VLOOKUP(C231,[1]VL!$B$3:$F$523,5,0)</f>
        <v>40909.090909090904</v>
      </c>
      <c r="G231" s="231">
        <f t="shared" si="22"/>
        <v>40909.090909090904</v>
      </c>
      <c r="I231" s="5">
        <f t="shared" si="18"/>
        <v>12</v>
      </c>
    </row>
    <row r="232" spans="1:9" ht="18" customHeight="1">
      <c r="A232" s="169"/>
      <c r="B232" s="189">
        <v>10</v>
      </c>
      <c r="C232" s="199" t="s">
        <v>113</v>
      </c>
      <c r="D232" s="186" t="s">
        <v>78</v>
      </c>
      <c r="E232" s="187">
        <v>10</v>
      </c>
      <c r="F232" s="39">
        <f>VLOOKUP(C232,[1]VL!$B$3:$F$523,5,0)</f>
        <v>1090.9090909090908</v>
      </c>
      <c r="G232" s="231">
        <f t="shared" si="22"/>
        <v>10909.090909090908</v>
      </c>
      <c r="I232" s="5">
        <f t="shared" si="18"/>
        <v>6</v>
      </c>
    </row>
    <row r="233" spans="1:9" ht="18" customHeight="1">
      <c r="A233" s="169"/>
      <c r="B233" s="189"/>
      <c r="C233" s="207" t="s">
        <v>340</v>
      </c>
      <c r="D233" s="206" t="s">
        <v>80</v>
      </c>
      <c r="E233" s="187">
        <v>5</v>
      </c>
      <c r="F233" s="39">
        <f>VLOOKUP(C233,[1]VL!$B$3:$E$523,4,0)</f>
        <v>1310</v>
      </c>
      <c r="G233" s="231">
        <f t="shared" ref="G233" si="23">F233*E233</f>
        <v>6550</v>
      </c>
      <c r="I233" s="5">
        <f t="shared" si="18"/>
        <v>1.2</v>
      </c>
    </row>
    <row r="234" spans="1:9" ht="18" customHeight="1">
      <c r="A234" s="169"/>
      <c r="B234" s="189">
        <v>11</v>
      </c>
      <c r="C234" s="199" t="s">
        <v>114</v>
      </c>
      <c r="D234" s="186" t="s">
        <v>16</v>
      </c>
      <c r="E234" s="187">
        <v>1</v>
      </c>
      <c r="F234" s="39">
        <f>VLOOKUP(C234,[1]VL!$B$3:$F$523,5,0)</f>
        <v>454.5454545454545</v>
      </c>
      <c r="G234" s="231">
        <f t="shared" si="22"/>
        <v>454.5454545454545</v>
      </c>
      <c r="I234" s="5">
        <f t="shared" si="18"/>
        <v>12</v>
      </c>
    </row>
    <row r="235" spans="1:9" ht="18" customHeight="1">
      <c r="A235" s="169"/>
      <c r="B235" s="189">
        <v>12</v>
      </c>
      <c r="C235" s="199" t="s">
        <v>79</v>
      </c>
      <c r="D235" s="186" t="s">
        <v>80</v>
      </c>
      <c r="E235" s="187">
        <v>10</v>
      </c>
      <c r="F235" s="39">
        <f>VLOOKUP(C235,[1]VL!$B$3:$F$523,5,0)</f>
        <v>31.818181818181817</v>
      </c>
      <c r="G235" s="231">
        <f t="shared" si="22"/>
        <v>318.18181818181819</v>
      </c>
      <c r="I235" s="5">
        <f t="shared" si="18"/>
        <v>1.2E-2</v>
      </c>
    </row>
    <row r="236" spans="1:9" ht="18" customHeight="1">
      <c r="A236" s="169"/>
      <c r="B236" s="189">
        <v>13</v>
      </c>
      <c r="C236" s="199" t="s">
        <v>86</v>
      </c>
      <c r="D236" s="186" t="s">
        <v>98</v>
      </c>
      <c r="E236" s="187">
        <v>0.01</v>
      </c>
      <c r="F236" s="39">
        <f>VLOOKUP(C236,[1]VL!$B$3:$F$523,5,0)</f>
        <v>36363.63636363636</v>
      </c>
      <c r="G236" s="231">
        <f t="shared" si="22"/>
        <v>363.63636363636363</v>
      </c>
      <c r="I236" s="5">
        <f t="shared" si="18"/>
        <v>6.0000000000000001E-3</v>
      </c>
    </row>
    <row r="237" spans="1:9" ht="18" customHeight="1">
      <c r="A237" s="169"/>
      <c r="B237" s="189">
        <v>14</v>
      </c>
      <c r="C237" s="199" t="s">
        <v>81</v>
      </c>
      <c r="D237" s="186" t="s">
        <v>82</v>
      </c>
      <c r="E237" s="187">
        <v>5.0000000000000001E-3</v>
      </c>
      <c r="F237" s="39">
        <f>VLOOKUP(C237,[1]VL!$B$3:$F$523,5,0)</f>
        <v>9090.9090909090901</v>
      </c>
      <c r="G237" s="231">
        <f t="shared" si="22"/>
        <v>45.454545454545453</v>
      </c>
      <c r="I237" s="5">
        <f t="shared" si="18"/>
        <v>6.0000000000000001E-3</v>
      </c>
    </row>
    <row r="238" spans="1:9" ht="18" customHeight="1">
      <c r="A238" s="169"/>
      <c r="B238" s="189">
        <v>15</v>
      </c>
      <c r="C238" s="199" t="s">
        <v>115</v>
      </c>
      <c r="D238" s="186" t="s">
        <v>45</v>
      </c>
      <c r="E238" s="187">
        <v>5.0000000000000001E-3</v>
      </c>
      <c r="F238" s="39">
        <f>VLOOKUP(C238,[1]VL!$B$3:$F$523,5,0)</f>
        <v>1090909.0909090908</v>
      </c>
      <c r="G238" s="231">
        <f t="shared" si="22"/>
        <v>5454.545454545454</v>
      </c>
      <c r="I238" s="5">
        <f t="shared" si="18"/>
        <v>6.0000000000000001E-3</v>
      </c>
    </row>
    <row r="239" spans="1:9" ht="18" customHeight="1">
      <c r="A239" s="169"/>
      <c r="B239" s="189">
        <v>16</v>
      </c>
      <c r="C239" s="199" t="s">
        <v>116</v>
      </c>
      <c r="D239" s="186" t="s">
        <v>45</v>
      </c>
      <c r="E239" s="187">
        <v>5.0000000000000001E-3</v>
      </c>
      <c r="F239" s="39">
        <f>VLOOKUP(C239,[1]VL!$B$3:$F$523,5,0)</f>
        <v>4272727.2727272725</v>
      </c>
      <c r="G239" s="231">
        <f t="shared" si="22"/>
        <v>21363.636363636364</v>
      </c>
      <c r="I239" s="5">
        <f t="shared" si="18"/>
        <v>0</v>
      </c>
    </row>
    <row r="240" spans="1:9" ht="18" customHeight="1">
      <c r="A240" s="169">
        <v>25</v>
      </c>
      <c r="B240" s="165" t="s">
        <v>325</v>
      </c>
      <c r="C240" s="362" t="s">
        <v>118</v>
      </c>
      <c r="D240" s="363"/>
      <c r="E240" s="364"/>
      <c r="F240" s="195"/>
      <c r="G240" s="188">
        <f>SUM(G241:G256)*1.08</f>
        <v>982823.5636363636</v>
      </c>
    </row>
    <row r="241" spans="1:9" ht="18" customHeight="1">
      <c r="A241" s="169"/>
      <c r="B241" s="189">
        <v>1</v>
      </c>
      <c r="C241" s="199" t="s">
        <v>117</v>
      </c>
      <c r="D241" s="186" t="s">
        <v>96</v>
      </c>
      <c r="E241" s="187">
        <v>0.01</v>
      </c>
      <c r="F241" s="39">
        <f>VLOOKUP(C241,[1]VL!$B$3:$F$523,5,0)</f>
        <v>2181.8181818181815</v>
      </c>
      <c r="G241" s="231">
        <f t="shared" si="22"/>
        <v>21.818181818181817</v>
      </c>
      <c r="I241" s="5">
        <f t="shared" si="18"/>
        <v>1.2E-2</v>
      </c>
    </row>
    <row r="242" spans="1:9" ht="18" customHeight="1">
      <c r="A242" s="169"/>
      <c r="B242" s="189">
        <v>2</v>
      </c>
      <c r="C242" s="199" t="s">
        <v>108</v>
      </c>
      <c r="D242" s="186" t="s">
        <v>96</v>
      </c>
      <c r="E242" s="187">
        <v>0.01</v>
      </c>
      <c r="F242" s="39">
        <f>VLOOKUP(C242,[1]VL!$B$3:$F$523,5,0)</f>
        <v>13181818.181818182</v>
      </c>
      <c r="G242" s="231">
        <f t="shared" si="22"/>
        <v>131818.18181818182</v>
      </c>
      <c r="I242" s="5">
        <f t="shared" si="18"/>
        <v>180</v>
      </c>
    </row>
    <row r="243" spans="1:9" ht="18" customHeight="1">
      <c r="A243" s="169"/>
      <c r="B243" s="189">
        <v>3</v>
      </c>
      <c r="C243" s="199" t="s">
        <v>199</v>
      </c>
      <c r="D243" s="186" t="s">
        <v>96</v>
      </c>
      <c r="E243" s="187">
        <v>150</v>
      </c>
      <c r="F243" s="39">
        <f>VLOOKUP(C243,[1]VL!$B$3:$F$523,5,0)</f>
        <v>409.09090909090907</v>
      </c>
      <c r="G243" s="231">
        <f t="shared" si="22"/>
        <v>61363.63636363636</v>
      </c>
      <c r="I243" s="5">
        <f t="shared" si="18"/>
        <v>180</v>
      </c>
    </row>
    <row r="244" spans="1:9" ht="18" customHeight="1">
      <c r="A244" s="169"/>
      <c r="B244" s="189">
        <v>4</v>
      </c>
      <c r="C244" s="199" t="s">
        <v>109</v>
      </c>
      <c r="D244" s="186" t="s">
        <v>96</v>
      </c>
      <c r="E244" s="187">
        <v>150</v>
      </c>
      <c r="F244" s="39">
        <f>VLOOKUP(C244,[1]VL!$B$3:$F$523,5,0)</f>
        <v>363.63636363636363</v>
      </c>
      <c r="G244" s="231">
        <f t="shared" si="22"/>
        <v>54545.454545454544</v>
      </c>
      <c r="I244" s="5">
        <f t="shared" si="18"/>
        <v>360</v>
      </c>
    </row>
    <row r="245" spans="1:9" ht="18" customHeight="1">
      <c r="A245" s="169"/>
      <c r="B245" s="189">
        <v>5</v>
      </c>
      <c r="C245" s="199" t="s">
        <v>110</v>
      </c>
      <c r="D245" s="186" t="s">
        <v>96</v>
      </c>
      <c r="E245" s="187">
        <v>300</v>
      </c>
      <c r="F245" s="39">
        <f>VLOOKUP(C245,[1]VL!$B$3:$F$523,5,0)</f>
        <v>1454.5454545454545</v>
      </c>
      <c r="G245" s="231">
        <f t="shared" si="22"/>
        <v>436363.63636363635</v>
      </c>
      <c r="I245" s="5">
        <f t="shared" si="18"/>
        <v>6</v>
      </c>
    </row>
    <row r="246" spans="1:9" ht="18" customHeight="1">
      <c r="A246" s="169"/>
      <c r="B246" s="189">
        <v>6</v>
      </c>
      <c r="C246" s="207" t="s">
        <v>340</v>
      </c>
      <c r="D246" s="206" t="s">
        <v>80</v>
      </c>
      <c r="E246" s="187">
        <v>5</v>
      </c>
      <c r="F246" s="39">
        <f>VLOOKUP(C246,[1]VL!$B$3:$F$523,5,0)</f>
        <v>1190.9090909090908</v>
      </c>
      <c r="G246" s="231">
        <f t="shared" ref="G246" si="24">F246*E246</f>
        <v>5954.545454545454</v>
      </c>
      <c r="I246" s="5">
        <f t="shared" si="18"/>
        <v>60</v>
      </c>
    </row>
    <row r="247" spans="1:9" ht="18" customHeight="1">
      <c r="A247" s="169"/>
      <c r="B247" s="189">
        <v>7</v>
      </c>
      <c r="C247" s="199" t="s">
        <v>182</v>
      </c>
      <c r="D247" s="186" t="s">
        <v>95</v>
      </c>
      <c r="E247" s="187">
        <v>50</v>
      </c>
      <c r="F247" s="39">
        <f>VLOOKUP(C247,[1]VL!$B$3:$F$523,5,0)</f>
        <v>490.90909090909088</v>
      </c>
      <c r="G247" s="231">
        <f t="shared" si="22"/>
        <v>24545.454545454544</v>
      </c>
      <c r="I247" s="5">
        <f t="shared" si="18"/>
        <v>1.2</v>
      </c>
    </row>
    <row r="248" spans="1:9" ht="18" customHeight="1">
      <c r="A248" s="169"/>
      <c r="B248" s="189">
        <v>8</v>
      </c>
      <c r="C248" s="199" t="s">
        <v>349</v>
      </c>
      <c r="D248" s="186" t="s">
        <v>50</v>
      </c>
      <c r="E248" s="187">
        <v>1</v>
      </c>
      <c r="F248" s="39">
        <f>VLOOKUP(C248,[1]VL!$B$3:$F$523,5,0)</f>
        <v>109090.90909090909</v>
      </c>
      <c r="G248" s="231">
        <f t="shared" si="22"/>
        <v>109090.90909090909</v>
      </c>
      <c r="I248" s="5">
        <f t="shared" si="18"/>
        <v>1.2</v>
      </c>
    </row>
    <row r="249" spans="1:9" ht="18" customHeight="1">
      <c r="A249" s="169"/>
      <c r="B249" s="189">
        <v>9</v>
      </c>
      <c r="C249" s="199" t="s">
        <v>111</v>
      </c>
      <c r="D249" s="186" t="s">
        <v>50</v>
      </c>
      <c r="E249" s="187">
        <v>1</v>
      </c>
      <c r="F249" s="39">
        <f>VLOOKUP(C249,[1]VL!$B$3:$F$523,5,0)</f>
        <v>6818.181818181818</v>
      </c>
      <c r="G249" s="231">
        <f t="shared" si="22"/>
        <v>6818.181818181818</v>
      </c>
      <c r="I249" s="5">
        <f t="shared" si="18"/>
        <v>1.2</v>
      </c>
    </row>
    <row r="250" spans="1:9" ht="18" customHeight="1">
      <c r="A250" s="169"/>
      <c r="B250" s="189">
        <v>10</v>
      </c>
      <c r="C250" s="199" t="s">
        <v>112</v>
      </c>
      <c r="D250" s="186" t="s">
        <v>50</v>
      </c>
      <c r="E250" s="187">
        <v>1</v>
      </c>
      <c r="F250" s="39">
        <f>VLOOKUP(C250,[1]VL!$B$3:$F$523,5,0)</f>
        <v>40909.090909090904</v>
      </c>
      <c r="G250" s="231">
        <f t="shared" si="22"/>
        <v>40909.090909090904</v>
      </c>
      <c r="I250" s="5">
        <f t="shared" si="18"/>
        <v>12</v>
      </c>
    </row>
    <row r="251" spans="1:9" ht="18" customHeight="1">
      <c r="A251" s="169"/>
      <c r="B251" s="189">
        <v>11</v>
      </c>
      <c r="C251" s="199" t="s">
        <v>113</v>
      </c>
      <c r="D251" s="186" t="s">
        <v>78</v>
      </c>
      <c r="E251" s="187">
        <v>10</v>
      </c>
      <c r="F251" s="39">
        <f>VLOOKUP(C251,[1]VL!$B$3:$F$523,5,0)</f>
        <v>1090.9090909090908</v>
      </c>
      <c r="G251" s="231">
        <f t="shared" si="22"/>
        <v>10909.090909090908</v>
      </c>
      <c r="I251" s="5">
        <f t="shared" si="18"/>
        <v>1.2</v>
      </c>
    </row>
    <row r="252" spans="1:9" ht="18" customHeight="1">
      <c r="A252" s="169"/>
      <c r="B252" s="189">
        <v>12</v>
      </c>
      <c r="C252" s="199" t="s">
        <v>114</v>
      </c>
      <c r="D252" s="186" t="s">
        <v>16</v>
      </c>
      <c r="E252" s="187">
        <v>1</v>
      </c>
      <c r="F252" s="39">
        <f>VLOOKUP(C252,[1]VL!$B$3:$F$523,5,0)</f>
        <v>454.5454545454545</v>
      </c>
      <c r="G252" s="231">
        <f t="shared" si="22"/>
        <v>454.5454545454545</v>
      </c>
      <c r="I252" s="5">
        <f t="shared" si="18"/>
        <v>1.2E-2</v>
      </c>
    </row>
    <row r="253" spans="1:9" ht="18" customHeight="1">
      <c r="A253" s="169"/>
      <c r="B253" s="189">
        <v>13</v>
      </c>
      <c r="C253" s="199" t="s">
        <v>86</v>
      </c>
      <c r="D253" s="186" t="s">
        <v>98</v>
      </c>
      <c r="E253" s="187">
        <v>0.01</v>
      </c>
      <c r="F253" s="39">
        <f>VLOOKUP(C253,[1]VL!$B$3:$F$523,5,0)</f>
        <v>36363.63636363636</v>
      </c>
      <c r="G253" s="231">
        <f t="shared" si="22"/>
        <v>363.63636363636363</v>
      </c>
      <c r="I253" s="5">
        <f t="shared" si="18"/>
        <v>6.0000000000000001E-3</v>
      </c>
    </row>
    <row r="254" spans="1:9" ht="18" customHeight="1">
      <c r="A254" s="169"/>
      <c r="B254" s="189">
        <v>14</v>
      </c>
      <c r="C254" s="199" t="s">
        <v>81</v>
      </c>
      <c r="D254" s="186" t="s">
        <v>82</v>
      </c>
      <c r="E254" s="187">
        <v>5.0000000000000001E-3</v>
      </c>
      <c r="F254" s="39">
        <f>VLOOKUP(C254,[1]VL!$B$3:$F$523,5,0)</f>
        <v>9090.9090909090901</v>
      </c>
      <c r="G254" s="231">
        <f t="shared" si="22"/>
        <v>45.454545454545453</v>
      </c>
      <c r="I254" s="5">
        <f t="shared" si="18"/>
        <v>6.0000000000000001E-3</v>
      </c>
    </row>
    <row r="255" spans="1:9" ht="18" customHeight="1">
      <c r="A255" s="169"/>
      <c r="B255" s="189">
        <v>15</v>
      </c>
      <c r="C255" s="199" t="s">
        <v>115</v>
      </c>
      <c r="D255" s="186" t="s">
        <v>45</v>
      </c>
      <c r="E255" s="187">
        <v>5.0000000000000001E-3</v>
      </c>
      <c r="F255" s="39">
        <f>VLOOKUP(C255,[1]VL!$B$3:$F$523,5,0)</f>
        <v>1090909.0909090908</v>
      </c>
      <c r="G255" s="231">
        <f t="shared" si="22"/>
        <v>5454.545454545454</v>
      </c>
      <c r="I255" s="5">
        <f t="shared" si="18"/>
        <v>6.0000000000000001E-3</v>
      </c>
    </row>
    <row r="256" spans="1:9" ht="18" customHeight="1">
      <c r="A256" s="169"/>
      <c r="B256" s="189">
        <v>16</v>
      </c>
      <c r="C256" s="199" t="s">
        <v>116</v>
      </c>
      <c r="D256" s="186" t="s">
        <v>45</v>
      </c>
      <c r="E256" s="187">
        <v>5.0000000000000001E-3</v>
      </c>
      <c r="F256" s="39">
        <f>VLOOKUP(C256,[1]VL!$B$3:$F$523,5,0)</f>
        <v>4272727.2727272725</v>
      </c>
      <c r="G256" s="231">
        <f t="shared" si="22"/>
        <v>21363.636363636364</v>
      </c>
      <c r="I256" s="5">
        <f t="shared" si="18"/>
        <v>0</v>
      </c>
    </row>
    <row r="257" spans="1:9" ht="18" customHeight="1">
      <c r="A257" s="169">
        <v>26</v>
      </c>
      <c r="B257" s="165" t="s">
        <v>327</v>
      </c>
      <c r="C257" s="216" t="s">
        <v>312</v>
      </c>
      <c r="D257" s="192"/>
      <c r="E257" s="192"/>
      <c r="F257" s="192"/>
      <c r="G257" s="188">
        <f>SUM(G258:G274)*1.08</f>
        <v>1424641.7454545458</v>
      </c>
      <c r="I257" s="5">
        <f t="shared" si="18"/>
        <v>1.2E-2</v>
      </c>
    </row>
    <row r="258" spans="1:9" ht="18" customHeight="1">
      <c r="A258" s="169"/>
      <c r="B258" s="189">
        <v>1</v>
      </c>
      <c r="C258" s="199" t="s">
        <v>117</v>
      </c>
      <c r="D258" s="186" t="s">
        <v>96</v>
      </c>
      <c r="E258" s="187">
        <v>0.01</v>
      </c>
      <c r="F258" s="39">
        <f>VLOOKUP(C258,[1]VL!$B$3:$F$523,5,0)</f>
        <v>2181.8181818181815</v>
      </c>
      <c r="G258" s="231">
        <f t="shared" ref="G258:G274" si="25">F258*E258</f>
        <v>21.818181818181817</v>
      </c>
      <c r="I258" s="5">
        <f t="shared" si="18"/>
        <v>1.2E-2</v>
      </c>
    </row>
    <row r="259" spans="1:9" ht="18" customHeight="1">
      <c r="A259" s="169"/>
      <c r="B259" s="189">
        <v>2</v>
      </c>
      <c r="C259" s="199" t="s">
        <v>108</v>
      </c>
      <c r="D259" s="186" t="s">
        <v>96</v>
      </c>
      <c r="E259" s="187">
        <v>0.01</v>
      </c>
      <c r="F259" s="39">
        <f>VLOOKUP(C259,[1]VL!$B$3:$F$523,5,0)</f>
        <v>13181818.181818182</v>
      </c>
      <c r="G259" s="231">
        <f t="shared" si="25"/>
        <v>131818.18181818182</v>
      </c>
      <c r="I259" s="5">
        <f t="shared" si="18"/>
        <v>180</v>
      </c>
    </row>
    <row r="260" spans="1:9" ht="18" customHeight="1">
      <c r="A260" s="169"/>
      <c r="B260" s="189">
        <v>3</v>
      </c>
      <c r="C260" s="199" t="s">
        <v>199</v>
      </c>
      <c r="D260" s="186" t="s">
        <v>96</v>
      </c>
      <c r="E260" s="187">
        <v>150</v>
      </c>
      <c r="F260" s="39">
        <f>VLOOKUP(C260,[1]VL!$B$3:$F$523,5,0)</f>
        <v>409.09090909090907</v>
      </c>
      <c r="G260" s="231">
        <f t="shared" si="25"/>
        <v>61363.63636363636</v>
      </c>
      <c r="I260" s="5">
        <f t="shared" si="18"/>
        <v>180</v>
      </c>
    </row>
    <row r="261" spans="1:9" ht="18" customHeight="1">
      <c r="A261" s="169"/>
      <c r="B261" s="189">
        <v>4</v>
      </c>
      <c r="C261" s="199" t="s">
        <v>109</v>
      </c>
      <c r="D261" s="186" t="s">
        <v>96</v>
      </c>
      <c r="E261" s="187">
        <v>150</v>
      </c>
      <c r="F261" s="39">
        <f>VLOOKUP(C261,[1]VL!$B$3:$F$523,5,0)</f>
        <v>363.63636363636363</v>
      </c>
      <c r="G261" s="231">
        <f t="shared" si="25"/>
        <v>54545.454545454544</v>
      </c>
      <c r="I261" s="5">
        <f t="shared" si="18"/>
        <v>360</v>
      </c>
    </row>
    <row r="262" spans="1:9" ht="18" customHeight="1">
      <c r="A262" s="169"/>
      <c r="B262" s="189">
        <v>5</v>
      </c>
      <c r="C262" s="199" t="s">
        <v>110</v>
      </c>
      <c r="D262" s="186" t="s">
        <v>96</v>
      </c>
      <c r="E262" s="187">
        <v>300</v>
      </c>
      <c r="F262" s="39">
        <f>VLOOKUP(C262,[1]VL!$B$3:$F$523,5,0)</f>
        <v>1454.5454545454545</v>
      </c>
      <c r="G262" s="231">
        <f t="shared" si="25"/>
        <v>436363.63636363635</v>
      </c>
      <c r="I262" s="5">
        <f t="shared" si="18"/>
        <v>6</v>
      </c>
    </row>
    <row r="263" spans="1:9" ht="18" customHeight="1">
      <c r="A263" s="169"/>
      <c r="B263" s="189">
        <v>6</v>
      </c>
      <c r="C263" s="207" t="s">
        <v>340</v>
      </c>
      <c r="D263" s="206" t="s">
        <v>80</v>
      </c>
      <c r="E263" s="187">
        <v>5</v>
      </c>
      <c r="F263" s="39">
        <f>VLOOKUP(C263,[1]VL!$B$3:$F$523,5,0)</f>
        <v>1190.9090909090908</v>
      </c>
      <c r="G263" s="231">
        <f t="shared" si="25"/>
        <v>5954.545454545454</v>
      </c>
      <c r="I263" s="5">
        <f t="shared" ref="I263:I305" si="26">E264*1.2</f>
        <v>60</v>
      </c>
    </row>
    <row r="264" spans="1:9" ht="18" customHeight="1">
      <c r="A264" s="169"/>
      <c r="B264" s="189">
        <v>7</v>
      </c>
      <c r="C264" s="199" t="s">
        <v>182</v>
      </c>
      <c r="D264" s="186" t="s">
        <v>95</v>
      </c>
      <c r="E264" s="187">
        <v>50</v>
      </c>
      <c r="F264" s="39">
        <f>VLOOKUP(C264,[1]VL!$B$3:$F$523,5,0)</f>
        <v>490.90909090909088</v>
      </c>
      <c r="G264" s="231">
        <f t="shared" si="25"/>
        <v>24545.454545454544</v>
      </c>
      <c r="I264" s="5">
        <f t="shared" si="26"/>
        <v>1.2</v>
      </c>
    </row>
    <row r="265" spans="1:9" ht="18" customHeight="1">
      <c r="A265" s="169"/>
      <c r="B265" s="189">
        <v>8</v>
      </c>
      <c r="C265" s="199" t="s">
        <v>349</v>
      </c>
      <c r="D265" s="186" t="s">
        <v>50</v>
      </c>
      <c r="E265" s="187">
        <v>1</v>
      </c>
      <c r="F265" s="39">
        <f>VLOOKUP(C265,[1]VL!$B$3:$F$523,5,0)</f>
        <v>109090.90909090909</v>
      </c>
      <c r="G265" s="231">
        <f t="shared" si="25"/>
        <v>109090.90909090909</v>
      </c>
      <c r="I265" s="5">
        <f t="shared" si="26"/>
        <v>1.2</v>
      </c>
    </row>
    <row r="266" spans="1:9" ht="18" customHeight="1">
      <c r="A266" s="169"/>
      <c r="B266" s="189">
        <v>9</v>
      </c>
      <c r="C266" s="199" t="s">
        <v>111</v>
      </c>
      <c r="D266" s="186" t="s">
        <v>50</v>
      </c>
      <c r="E266" s="187">
        <v>1</v>
      </c>
      <c r="F266" s="39">
        <f>VLOOKUP(C266,[1]VL!$B$3:$F$523,5,0)</f>
        <v>6818.181818181818</v>
      </c>
      <c r="G266" s="231">
        <f t="shared" si="25"/>
        <v>6818.181818181818</v>
      </c>
      <c r="I266" s="5">
        <f t="shared" si="26"/>
        <v>1.2</v>
      </c>
    </row>
    <row r="267" spans="1:9" ht="18" customHeight="1">
      <c r="A267" s="169"/>
      <c r="B267" s="189">
        <v>10</v>
      </c>
      <c r="C267" s="199" t="s">
        <v>112</v>
      </c>
      <c r="D267" s="186" t="s">
        <v>50</v>
      </c>
      <c r="E267" s="187">
        <v>1</v>
      </c>
      <c r="F267" s="39">
        <f>VLOOKUP(C267,[1]VL!$B$3:$F$523,5,0)</f>
        <v>40909.090909090904</v>
      </c>
      <c r="G267" s="231">
        <f t="shared" si="25"/>
        <v>40909.090909090904</v>
      </c>
      <c r="I267" s="5">
        <f t="shared" si="26"/>
        <v>12</v>
      </c>
    </row>
    <row r="268" spans="1:9" ht="18" customHeight="1">
      <c r="A268" s="169"/>
      <c r="B268" s="189">
        <v>11</v>
      </c>
      <c r="C268" s="199" t="s">
        <v>113</v>
      </c>
      <c r="D268" s="186" t="s">
        <v>78</v>
      </c>
      <c r="E268" s="187">
        <v>10</v>
      </c>
      <c r="F268" s="39">
        <f>VLOOKUP(C268,[1]VL!$B$3:$F$523,5,0)</f>
        <v>1090.9090909090908</v>
      </c>
      <c r="G268" s="231">
        <f t="shared" si="25"/>
        <v>10909.090909090908</v>
      </c>
      <c r="I268" s="5">
        <f t="shared" si="26"/>
        <v>1.2</v>
      </c>
    </row>
    <row r="269" spans="1:9" ht="18" customHeight="1">
      <c r="A269" s="169"/>
      <c r="B269" s="189">
        <v>12</v>
      </c>
      <c r="C269" s="199" t="s">
        <v>114</v>
      </c>
      <c r="D269" s="186" t="s">
        <v>16</v>
      </c>
      <c r="E269" s="187">
        <v>1</v>
      </c>
      <c r="F269" s="39">
        <f>VLOOKUP(C269,[1]VL!$B$3:$F$523,5,0)</f>
        <v>454.5454545454545</v>
      </c>
      <c r="G269" s="231">
        <f t="shared" si="25"/>
        <v>454.5454545454545</v>
      </c>
      <c r="I269" s="5">
        <f t="shared" si="26"/>
        <v>12</v>
      </c>
    </row>
    <row r="270" spans="1:9" ht="18" customHeight="1">
      <c r="A270" s="169"/>
      <c r="B270" s="189">
        <v>13</v>
      </c>
      <c r="C270" s="199" t="s">
        <v>112</v>
      </c>
      <c r="D270" s="186" t="s">
        <v>80</v>
      </c>
      <c r="E270" s="187">
        <v>10</v>
      </c>
      <c r="F270" s="39">
        <f>VLOOKUP(C270,[1]VL!$B$3:$F$523,5,0)</f>
        <v>40909.090909090904</v>
      </c>
      <c r="G270" s="231">
        <f t="shared" si="25"/>
        <v>409090.90909090906</v>
      </c>
      <c r="I270" s="5">
        <f t="shared" si="26"/>
        <v>1.2E-2</v>
      </c>
    </row>
    <row r="271" spans="1:9" ht="18" customHeight="1">
      <c r="A271" s="169"/>
      <c r="B271" s="189">
        <v>14</v>
      </c>
      <c r="C271" s="199" t="s">
        <v>86</v>
      </c>
      <c r="D271" s="186" t="s">
        <v>50</v>
      </c>
      <c r="E271" s="187">
        <v>0.01</v>
      </c>
      <c r="F271" s="39">
        <f>VLOOKUP(C271,[1]VL!$B$3:$F$523,5,0)</f>
        <v>36363.63636363636</v>
      </c>
      <c r="G271" s="231">
        <f t="shared" si="25"/>
        <v>363.63636363636363</v>
      </c>
      <c r="I271" s="5">
        <f t="shared" si="26"/>
        <v>6.0000000000000001E-3</v>
      </c>
    </row>
    <row r="272" spans="1:9" ht="18" customHeight="1">
      <c r="A272" s="169"/>
      <c r="B272" s="189">
        <v>15</v>
      </c>
      <c r="C272" s="199" t="s">
        <v>81</v>
      </c>
      <c r="D272" s="186" t="s">
        <v>82</v>
      </c>
      <c r="E272" s="187">
        <v>5.0000000000000001E-3</v>
      </c>
      <c r="F272" s="39">
        <f>VLOOKUP(C272,[1]VL!$B$3:$F$523,5,0)</f>
        <v>9090.9090909090901</v>
      </c>
      <c r="G272" s="231">
        <f t="shared" si="25"/>
        <v>45.454545454545453</v>
      </c>
      <c r="I272" s="5">
        <f t="shared" si="26"/>
        <v>6.0000000000000001E-3</v>
      </c>
    </row>
    <row r="273" spans="1:9" ht="18" customHeight="1">
      <c r="A273" s="169"/>
      <c r="B273" s="189">
        <v>16</v>
      </c>
      <c r="C273" s="199" t="s">
        <v>115</v>
      </c>
      <c r="D273" s="186" t="s">
        <v>45</v>
      </c>
      <c r="E273" s="187">
        <v>5.0000000000000001E-3</v>
      </c>
      <c r="F273" s="39">
        <f>VLOOKUP(C273,[1]VL!$B$3:$F$523,5,0)</f>
        <v>1090909.0909090908</v>
      </c>
      <c r="G273" s="231">
        <f t="shared" si="25"/>
        <v>5454.545454545454</v>
      </c>
      <c r="I273" s="5">
        <f t="shared" si="26"/>
        <v>6.0000000000000001E-3</v>
      </c>
    </row>
    <row r="274" spans="1:9" ht="18" customHeight="1">
      <c r="A274" s="169"/>
      <c r="B274" s="189">
        <v>17</v>
      </c>
      <c r="C274" s="199" t="s">
        <v>116</v>
      </c>
      <c r="D274" s="186" t="s">
        <v>45</v>
      </c>
      <c r="E274" s="187">
        <v>5.0000000000000001E-3</v>
      </c>
      <c r="F274" s="39">
        <f>VLOOKUP(C274,[1]VL!$B$3:$F$523,5,0)</f>
        <v>4272727.2727272725</v>
      </c>
      <c r="G274" s="231">
        <f t="shared" si="25"/>
        <v>21363.636363636364</v>
      </c>
      <c r="I274" s="5">
        <f t="shared" si="26"/>
        <v>0</v>
      </c>
    </row>
    <row r="275" spans="1:9" ht="18" customHeight="1">
      <c r="A275" s="169">
        <v>27</v>
      </c>
      <c r="B275" s="165" t="s">
        <v>328</v>
      </c>
      <c r="C275" s="216" t="s">
        <v>9</v>
      </c>
      <c r="D275" s="193"/>
      <c r="E275" s="194"/>
      <c r="F275" s="195"/>
      <c r="G275" s="188">
        <f>SUM(G276:G292)*1.08</f>
        <v>1424641.7454545458</v>
      </c>
      <c r="I275" s="5">
        <f t="shared" si="26"/>
        <v>1.2E-2</v>
      </c>
    </row>
    <row r="276" spans="1:9" ht="18" customHeight="1">
      <c r="A276" s="169"/>
      <c r="B276" s="189">
        <v>1</v>
      </c>
      <c r="C276" s="199" t="s">
        <v>117</v>
      </c>
      <c r="D276" s="186" t="s">
        <v>96</v>
      </c>
      <c r="E276" s="187">
        <v>0.01</v>
      </c>
      <c r="F276" s="39">
        <f>VLOOKUP(C276,[1]VL!$B$3:$F$523,5,0)</f>
        <v>2181.8181818181815</v>
      </c>
      <c r="G276" s="231">
        <f t="shared" si="22"/>
        <v>21.818181818181817</v>
      </c>
      <c r="I276" s="5">
        <f t="shared" si="26"/>
        <v>1.2E-2</v>
      </c>
    </row>
    <row r="277" spans="1:9" ht="18" customHeight="1">
      <c r="A277" s="169"/>
      <c r="B277" s="189">
        <v>2</v>
      </c>
      <c r="C277" s="199" t="s">
        <v>108</v>
      </c>
      <c r="D277" s="186" t="s">
        <v>96</v>
      </c>
      <c r="E277" s="187">
        <v>0.01</v>
      </c>
      <c r="F277" s="39">
        <f>VLOOKUP(C277,[1]VL!$B$3:$F$523,5,0)</f>
        <v>13181818.181818182</v>
      </c>
      <c r="G277" s="231">
        <f t="shared" si="22"/>
        <v>131818.18181818182</v>
      </c>
      <c r="I277" s="5">
        <f t="shared" si="26"/>
        <v>180</v>
      </c>
    </row>
    <row r="278" spans="1:9" ht="18" customHeight="1">
      <c r="A278" s="169"/>
      <c r="B278" s="189">
        <v>3</v>
      </c>
      <c r="C278" s="199" t="s">
        <v>199</v>
      </c>
      <c r="D278" s="186" t="s">
        <v>96</v>
      </c>
      <c r="E278" s="187">
        <v>150</v>
      </c>
      <c r="F278" s="39">
        <f>VLOOKUP(C278,[1]VL!$B$3:$F$523,5,0)</f>
        <v>409.09090909090907</v>
      </c>
      <c r="G278" s="231">
        <f t="shared" si="22"/>
        <v>61363.63636363636</v>
      </c>
      <c r="I278" s="5">
        <f t="shared" si="26"/>
        <v>180</v>
      </c>
    </row>
    <row r="279" spans="1:9" ht="18" customHeight="1">
      <c r="A279" s="169"/>
      <c r="B279" s="189">
        <v>4</v>
      </c>
      <c r="C279" s="199" t="s">
        <v>109</v>
      </c>
      <c r="D279" s="186" t="s">
        <v>96</v>
      </c>
      <c r="E279" s="187">
        <v>150</v>
      </c>
      <c r="F279" s="39">
        <f>VLOOKUP(C279,[1]VL!$B$3:$F$523,5,0)</f>
        <v>363.63636363636363</v>
      </c>
      <c r="G279" s="231">
        <f t="shared" si="22"/>
        <v>54545.454545454544</v>
      </c>
      <c r="I279" s="5">
        <f t="shared" si="26"/>
        <v>360</v>
      </c>
    </row>
    <row r="280" spans="1:9" ht="18" customHeight="1">
      <c r="A280" s="169"/>
      <c r="B280" s="189">
        <v>5</v>
      </c>
      <c r="C280" s="199" t="s">
        <v>110</v>
      </c>
      <c r="D280" s="186" t="s">
        <v>96</v>
      </c>
      <c r="E280" s="187">
        <v>300</v>
      </c>
      <c r="F280" s="39">
        <f>VLOOKUP(C280,[1]VL!$B$3:$F$523,5,0)</f>
        <v>1454.5454545454545</v>
      </c>
      <c r="G280" s="231">
        <f t="shared" si="22"/>
        <v>436363.63636363635</v>
      </c>
      <c r="I280" s="5">
        <f t="shared" si="26"/>
        <v>6</v>
      </c>
    </row>
    <row r="281" spans="1:9" ht="18" customHeight="1">
      <c r="A281" s="169"/>
      <c r="B281" s="189">
        <v>6</v>
      </c>
      <c r="C281" s="207" t="s">
        <v>340</v>
      </c>
      <c r="D281" s="206" t="s">
        <v>80</v>
      </c>
      <c r="E281" s="187">
        <v>5</v>
      </c>
      <c r="F281" s="39">
        <f>VLOOKUP(C281,[1]VL!$B$3:$F$523,5,0)</f>
        <v>1190.9090909090908</v>
      </c>
      <c r="G281" s="231">
        <f t="shared" ref="G281" si="27">F281*E281</f>
        <v>5954.545454545454</v>
      </c>
      <c r="I281" s="5">
        <f t="shared" si="26"/>
        <v>60</v>
      </c>
    </row>
    <row r="282" spans="1:9" ht="18" customHeight="1">
      <c r="A282" s="169"/>
      <c r="B282" s="189">
        <v>7</v>
      </c>
      <c r="C282" s="199" t="s">
        <v>182</v>
      </c>
      <c r="D282" s="186" t="s">
        <v>95</v>
      </c>
      <c r="E282" s="187">
        <v>50</v>
      </c>
      <c r="F282" s="39">
        <f>VLOOKUP(C282,[1]VL!$B$3:$F$523,5,0)</f>
        <v>490.90909090909088</v>
      </c>
      <c r="G282" s="231">
        <f t="shared" si="22"/>
        <v>24545.454545454544</v>
      </c>
      <c r="I282" s="5">
        <f t="shared" si="26"/>
        <v>1.2</v>
      </c>
    </row>
    <row r="283" spans="1:9" ht="18" customHeight="1">
      <c r="A283" s="169"/>
      <c r="B283" s="189">
        <v>8</v>
      </c>
      <c r="C283" s="199" t="s">
        <v>349</v>
      </c>
      <c r="D283" s="186" t="s">
        <v>50</v>
      </c>
      <c r="E283" s="187">
        <v>1</v>
      </c>
      <c r="F283" s="39">
        <f>VLOOKUP(C283,[1]VL!$B$3:$F$523,5,0)</f>
        <v>109090.90909090909</v>
      </c>
      <c r="G283" s="231">
        <f t="shared" si="22"/>
        <v>109090.90909090909</v>
      </c>
      <c r="I283" s="5">
        <f t="shared" si="26"/>
        <v>1.2</v>
      </c>
    </row>
    <row r="284" spans="1:9" ht="18" customHeight="1">
      <c r="A284" s="169"/>
      <c r="B284" s="189">
        <v>9</v>
      </c>
      <c r="C284" s="199" t="s">
        <v>111</v>
      </c>
      <c r="D284" s="186" t="s">
        <v>50</v>
      </c>
      <c r="E284" s="187">
        <v>1</v>
      </c>
      <c r="F284" s="39">
        <f>VLOOKUP(C284,[1]VL!$B$3:$F$523,5,0)</f>
        <v>6818.181818181818</v>
      </c>
      <c r="G284" s="231">
        <f t="shared" si="22"/>
        <v>6818.181818181818</v>
      </c>
      <c r="I284" s="5">
        <f t="shared" si="26"/>
        <v>1.2</v>
      </c>
    </row>
    <row r="285" spans="1:9" ht="18" customHeight="1">
      <c r="A285" s="169"/>
      <c r="B285" s="189">
        <v>10</v>
      </c>
      <c r="C285" s="199" t="s">
        <v>112</v>
      </c>
      <c r="D285" s="186" t="s">
        <v>50</v>
      </c>
      <c r="E285" s="187">
        <v>1</v>
      </c>
      <c r="F285" s="39">
        <f>VLOOKUP(C285,[1]VL!$B$3:$F$523,5,0)</f>
        <v>40909.090909090904</v>
      </c>
      <c r="G285" s="231">
        <f t="shared" si="22"/>
        <v>40909.090909090904</v>
      </c>
      <c r="I285" s="5">
        <f t="shared" si="26"/>
        <v>12</v>
      </c>
    </row>
    <row r="286" spans="1:9" ht="18" customHeight="1">
      <c r="A286" s="169"/>
      <c r="B286" s="189">
        <v>11</v>
      </c>
      <c r="C286" s="199" t="s">
        <v>113</v>
      </c>
      <c r="D286" s="186" t="s">
        <v>78</v>
      </c>
      <c r="E286" s="187">
        <v>10</v>
      </c>
      <c r="F286" s="39">
        <f>VLOOKUP(C286,[1]VL!$B$3:$F$523,5,0)</f>
        <v>1090.9090909090908</v>
      </c>
      <c r="G286" s="231">
        <f t="shared" si="22"/>
        <v>10909.090909090908</v>
      </c>
      <c r="I286" s="5">
        <f t="shared" si="26"/>
        <v>1.2</v>
      </c>
    </row>
    <row r="287" spans="1:9" ht="18" customHeight="1">
      <c r="A287" s="169"/>
      <c r="B287" s="189">
        <v>12</v>
      </c>
      <c r="C287" s="199" t="s">
        <v>114</v>
      </c>
      <c r="D287" s="186" t="s">
        <v>16</v>
      </c>
      <c r="E287" s="187">
        <v>1</v>
      </c>
      <c r="F287" s="39">
        <f>VLOOKUP(C287,[1]VL!$B$3:$F$523,5,0)</f>
        <v>454.5454545454545</v>
      </c>
      <c r="G287" s="231">
        <f t="shared" si="22"/>
        <v>454.5454545454545</v>
      </c>
      <c r="I287" s="5">
        <f t="shared" si="26"/>
        <v>12</v>
      </c>
    </row>
    <row r="288" spans="1:9" ht="18" customHeight="1">
      <c r="A288" s="169"/>
      <c r="B288" s="189">
        <v>13</v>
      </c>
      <c r="C288" s="199" t="s">
        <v>112</v>
      </c>
      <c r="D288" s="186" t="s">
        <v>80</v>
      </c>
      <c r="E288" s="187">
        <v>10</v>
      </c>
      <c r="F288" s="39">
        <f>VLOOKUP(C288,[1]VL!$B$3:$F$523,5,0)</f>
        <v>40909.090909090904</v>
      </c>
      <c r="G288" s="231">
        <f t="shared" si="22"/>
        <v>409090.90909090906</v>
      </c>
      <c r="I288" s="5">
        <f t="shared" si="26"/>
        <v>1.2E-2</v>
      </c>
    </row>
    <row r="289" spans="1:9" ht="18" customHeight="1">
      <c r="A289" s="169"/>
      <c r="B289" s="189">
        <v>14</v>
      </c>
      <c r="C289" s="199" t="s">
        <v>86</v>
      </c>
      <c r="D289" s="186" t="s">
        <v>50</v>
      </c>
      <c r="E289" s="187">
        <v>0.01</v>
      </c>
      <c r="F289" s="39">
        <f>VLOOKUP(C289,[1]VL!$B$3:$F$523,5,0)</f>
        <v>36363.63636363636</v>
      </c>
      <c r="G289" s="231">
        <f t="shared" si="22"/>
        <v>363.63636363636363</v>
      </c>
      <c r="I289" s="5">
        <f t="shared" si="26"/>
        <v>6.0000000000000001E-3</v>
      </c>
    </row>
    <row r="290" spans="1:9" ht="18" customHeight="1">
      <c r="A290" s="169"/>
      <c r="B290" s="189">
        <v>15</v>
      </c>
      <c r="C290" s="199" t="s">
        <v>81</v>
      </c>
      <c r="D290" s="186" t="s">
        <v>82</v>
      </c>
      <c r="E290" s="187">
        <v>5.0000000000000001E-3</v>
      </c>
      <c r="F290" s="39">
        <f>VLOOKUP(C290,[1]VL!$B$3:$F$523,5,0)</f>
        <v>9090.9090909090901</v>
      </c>
      <c r="G290" s="231">
        <f t="shared" si="22"/>
        <v>45.454545454545453</v>
      </c>
      <c r="I290" s="5">
        <f t="shared" si="26"/>
        <v>6.0000000000000001E-3</v>
      </c>
    </row>
    <row r="291" spans="1:9" ht="18" customHeight="1">
      <c r="A291" s="169"/>
      <c r="B291" s="189">
        <v>16</v>
      </c>
      <c r="C291" s="199" t="s">
        <v>115</v>
      </c>
      <c r="D291" s="186" t="s">
        <v>45</v>
      </c>
      <c r="E291" s="187">
        <v>5.0000000000000001E-3</v>
      </c>
      <c r="F291" s="39">
        <f>VLOOKUP(C291,[1]VL!$B$3:$F$523,5,0)</f>
        <v>1090909.0909090908</v>
      </c>
      <c r="G291" s="231">
        <f t="shared" si="22"/>
        <v>5454.545454545454</v>
      </c>
      <c r="I291" s="5">
        <f t="shared" si="26"/>
        <v>6.0000000000000001E-3</v>
      </c>
    </row>
    <row r="292" spans="1:9" ht="18" customHeight="1">
      <c r="A292" s="169"/>
      <c r="B292" s="189">
        <v>17</v>
      </c>
      <c r="C292" s="199" t="s">
        <v>116</v>
      </c>
      <c r="D292" s="186" t="s">
        <v>45</v>
      </c>
      <c r="E292" s="187">
        <v>5.0000000000000001E-3</v>
      </c>
      <c r="F292" s="39">
        <f>VLOOKUP(C292,[1]VL!$B$3:$F$523,5,0)</f>
        <v>4272727.2727272725</v>
      </c>
      <c r="G292" s="231">
        <f t="shared" si="22"/>
        <v>21363.636363636364</v>
      </c>
      <c r="I292" s="5">
        <f t="shared" si="26"/>
        <v>0</v>
      </c>
    </row>
    <row r="293" spans="1:9" ht="18" customHeight="1">
      <c r="A293" s="169">
        <v>28</v>
      </c>
      <c r="B293" s="217" t="s">
        <v>329</v>
      </c>
      <c r="C293" s="210" t="s">
        <v>143</v>
      </c>
      <c r="D293" s="210"/>
      <c r="E293" s="218"/>
      <c r="F293" s="39"/>
      <c r="G293" s="188">
        <f>SUM(G294:G305)*1.08</f>
        <v>749029.09090909071</v>
      </c>
      <c r="I293" s="5">
        <f t="shared" si="26"/>
        <v>6</v>
      </c>
    </row>
    <row r="294" spans="1:9" ht="18" customHeight="1">
      <c r="A294" s="169"/>
      <c r="B294" s="189">
        <v>1</v>
      </c>
      <c r="C294" s="199" t="s">
        <v>119</v>
      </c>
      <c r="D294" s="186" t="s">
        <v>80</v>
      </c>
      <c r="E294" s="187">
        <v>5</v>
      </c>
      <c r="F294" s="39">
        <f>VLOOKUP(C294,[1]VL!$B$3:$F$523,5,0)</f>
        <v>49999.999999999993</v>
      </c>
      <c r="G294" s="231">
        <f t="shared" ref="G294:G305" si="28">F294*E294</f>
        <v>249999.99999999997</v>
      </c>
      <c r="I294" s="5">
        <f t="shared" si="26"/>
        <v>1.2</v>
      </c>
    </row>
    <row r="295" spans="1:9" ht="18" customHeight="1">
      <c r="A295" s="169"/>
      <c r="B295" s="189">
        <v>2</v>
      </c>
      <c r="C295" s="199" t="s">
        <v>120</v>
      </c>
      <c r="D295" s="186" t="s">
        <v>80</v>
      </c>
      <c r="E295" s="187">
        <v>1</v>
      </c>
      <c r="F295" s="39">
        <f>VLOOKUP(C295,[1]VL!$B$3:$F$523,5,0)</f>
        <v>90909.090909090897</v>
      </c>
      <c r="G295" s="231">
        <f t="shared" si="28"/>
        <v>90909.090909090897</v>
      </c>
      <c r="I295" s="5">
        <f t="shared" si="26"/>
        <v>12</v>
      </c>
    </row>
    <row r="296" spans="1:9" ht="18" customHeight="1">
      <c r="A296" s="169"/>
      <c r="B296" s="189">
        <v>3</v>
      </c>
      <c r="C296" s="199" t="s">
        <v>194</v>
      </c>
      <c r="D296" s="186" t="s">
        <v>80</v>
      </c>
      <c r="E296" s="187">
        <v>10</v>
      </c>
      <c r="F296" s="39">
        <f>VLOOKUP(C296,[1]VL!$B$3:$F$523,5,0)</f>
        <v>600</v>
      </c>
      <c r="G296" s="231">
        <f t="shared" si="28"/>
        <v>6000</v>
      </c>
      <c r="I296" s="5">
        <f t="shared" si="26"/>
        <v>12</v>
      </c>
    </row>
    <row r="297" spans="1:9" ht="18" customHeight="1">
      <c r="A297" s="169"/>
      <c r="B297" s="189">
        <v>4</v>
      </c>
      <c r="C297" s="199" t="s">
        <v>195</v>
      </c>
      <c r="D297" s="186" t="s">
        <v>80</v>
      </c>
      <c r="E297" s="187">
        <v>10</v>
      </c>
      <c r="F297" s="39">
        <f>VLOOKUP(C297,[1]VL!$B$3:$F$523,5,0)</f>
        <v>999.99999999999989</v>
      </c>
      <c r="G297" s="231">
        <f t="shared" si="28"/>
        <v>9999.9999999999982</v>
      </c>
      <c r="I297" s="5">
        <f t="shared" si="26"/>
        <v>12</v>
      </c>
    </row>
    <row r="298" spans="1:9" ht="18" customHeight="1">
      <c r="A298" s="169"/>
      <c r="B298" s="189">
        <v>5</v>
      </c>
      <c r="C298" s="191" t="s">
        <v>468</v>
      </c>
      <c r="D298" s="186" t="s">
        <v>96</v>
      </c>
      <c r="E298" s="187">
        <v>10</v>
      </c>
      <c r="F298" s="39">
        <f>VLOOKUP(C298,[1]VL!$B$3:$F$523,5,0)</f>
        <v>499.99999999999994</v>
      </c>
      <c r="G298" s="231">
        <f t="shared" si="28"/>
        <v>4999.9999999999991</v>
      </c>
      <c r="I298" s="5">
        <f t="shared" si="26"/>
        <v>12</v>
      </c>
    </row>
    <row r="299" spans="1:9" ht="18" customHeight="1">
      <c r="A299" s="169"/>
      <c r="B299" s="189">
        <v>6</v>
      </c>
      <c r="C299" s="199" t="s">
        <v>200</v>
      </c>
      <c r="D299" s="186" t="s">
        <v>78</v>
      </c>
      <c r="E299" s="187">
        <v>10</v>
      </c>
      <c r="F299" s="39">
        <f>VLOOKUP(C299,[1]VL!$B$3:$F$523,5,0)</f>
        <v>472.72727272727269</v>
      </c>
      <c r="G299" s="231">
        <f t="shared" si="28"/>
        <v>4727.272727272727</v>
      </c>
      <c r="I299" s="5">
        <f t="shared" si="26"/>
        <v>12</v>
      </c>
    </row>
    <row r="300" spans="1:9" ht="18" customHeight="1">
      <c r="A300" s="169"/>
      <c r="B300" s="189">
        <v>7</v>
      </c>
      <c r="C300" s="199" t="s">
        <v>79</v>
      </c>
      <c r="D300" s="186" t="s">
        <v>80</v>
      </c>
      <c r="E300" s="187">
        <v>10</v>
      </c>
      <c r="F300" s="39">
        <f>VLOOKUP(C300,[1]VL!$B$3:$F$523,5,0)</f>
        <v>31.818181818181817</v>
      </c>
      <c r="G300" s="231">
        <f t="shared" si="28"/>
        <v>318.18181818181819</v>
      </c>
      <c r="I300" s="5">
        <f t="shared" si="26"/>
        <v>9.6000000000000002E-2</v>
      </c>
    </row>
    <row r="301" spans="1:9" ht="18" customHeight="1">
      <c r="A301" s="169"/>
      <c r="B301" s="189">
        <v>8</v>
      </c>
      <c r="C301" s="227" t="s">
        <v>362</v>
      </c>
      <c r="D301" s="186" t="s">
        <v>49</v>
      </c>
      <c r="E301" s="187">
        <v>0.08</v>
      </c>
      <c r="F301" s="39">
        <f>VLOOKUP(C301,[1]VL!$B$3:$F$523,5,0)</f>
        <v>327272.72727272724</v>
      </c>
      <c r="G301" s="231">
        <f t="shared" si="28"/>
        <v>26181.81818181818</v>
      </c>
      <c r="I301" s="5">
        <f t="shared" si="26"/>
        <v>6.0000000000000001E-3</v>
      </c>
    </row>
    <row r="302" spans="1:9" ht="18" customHeight="1">
      <c r="A302" s="169"/>
      <c r="B302" s="189">
        <v>9</v>
      </c>
      <c r="C302" s="199" t="s">
        <v>81</v>
      </c>
      <c r="D302" s="186" t="s">
        <v>82</v>
      </c>
      <c r="E302" s="187">
        <v>5.0000000000000001E-3</v>
      </c>
      <c r="F302" s="39">
        <f>VLOOKUP(C302,[1]VL!$B$3:$F$523,5,0)</f>
        <v>9090.9090909090901</v>
      </c>
      <c r="G302" s="231">
        <f t="shared" si="28"/>
        <v>45.454545454545453</v>
      </c>
      <c r="I302" s="5">
        <f t="shared" si="26"/>
        <v>1.2E-2</v>
      </c>
    </row>
    <row r="303" spans="1:9" ht="18" customHeight="1">
      <c r="A303" s="169"/>
      <c r="B303" s="189">
        <v>10</v>
      </c>
      <c r="C303" s="199" t="s">
        <v>86</v>
      </c>
      <c r="D303" s="186" t="s">
        <v>49</v>
      </c>
      <c r="E303" s="187">
        <v>0.01</v>
      </c>
      <c r="F303" s="39">
        <f>VLOOKUP(C303,[1]VL!$B$3:$F$523,5,0)</f>
        <v>36363.63636363636</v>
      </c>
      <c r="G303" s="231">
        <f t="shared" si="28"/>
        <v>363.63636363636363</v>
      </c>
      <c r="I303" s="5">
        <f t="shared" si="26"/>
        <v>0.24</v>
      </c>
    </row>
    <row r="304" spans="1:9" ht="18" customHeight="1">
      <c r="A304" s="169"/>
      <c r="B304" s="189">
        <v>11</v>
      </c>
      <c r="C304" s="199" t="s">
        <v>102</v>
      </c>
      <c r="D304" s="186" t="s">
        <v>45</v>
      </c>
      <c r="E304" s="187">
        <v>0.2</v>
      </c>
      <c r="F304" s="39">
        <f>VLOOKUP(C304,[1]VL!$B$3:$F$523,5,0)</f>
        <v>909090.90909090906</v>
      </c>
      <c r="G304" s="231">
        <f t="shared" ref="G304" si="29">F304*E304</f>
        <v>181818.18181818182</v>
      </c>
      <c r="I304" s="5">
        <f t="shared" si="26"/>
        <v>0.24</v>
      </c>
    </row>
    <row r="305" spans="1:9" ht="18" customHeight="1">
      <c r="A305" s="169"/>
      <c r="B305" s="189">
        <v>12</v>
      </c>
      <c r="C305" s="199" t="s">
        <v>101</v>
      </c>
      <c r="D305" s="186" t="s">
        <v>45</v>
      </c>
      <c r="E305" s="187">
        <v>0.2</v>
      </c>
      <c r="F305" s="39">
        <f>VLOOKUP(C305,[1]VL!$B$3:$F$523,5,0)</f>
        <v>590909.09090909082</v>
      </c>
      <c r="G305" s="231">
        <f t="shared" si="28"/>
        <v>118181.81818181818</v>
      </c>
      <c r="I305" s="5">
        <f t="shared" si="26"/>
        <v>0</v>
      </c>
    </row>
  </sheetData>
  <autoFilter ref="A4:G305">
    <filterColumn colId="2"/>
  </autoFilter>
  <mergeCells count="45">
    <mergeCell ref="A1:G1"/>
    <mergeCell ref="A2:G2"/>
    <mergeCell ref="F3:G3"/>
    <mergeCell ref="B60:G60"/>
    <mergeCell ref="B5:F5"/>
    <mergeCell ref="D28:F28"/>
    <mergeCell ref="D29:F29"/>
    <mergeCell ref="D30:F30"/>
    <mergeCell ref="D32:F32"/>
    <mergeCell ref="D34:F34"/>
    <mergeCell ref="D54:F54"/>
    <mergeCell ref="D55:F55"/>
    <mergeCell ref="D56:F56"/>
    <mergeCell ref="D57:F57"/>
    <mergeCell ref="D58:F58"/>
    <mergeCell ref="D59:F59"/>
    <mergeCell ref="C222:E222"/>
    <mergeCell ref="C240:E240"/>
    <mergeCell ref="C126:E126"/>
    <mergeCell ref="C139:E139"/>
    <mergeCell ref="D31:F31"/>
    <mergeCell ref="D33:F33"/>
    <mergeCell ref="D35:F35"/>
    <mergeCell ref="D36:F36"/>
    <mergeCell ref="D37:F37"/>
    <mergeCell ref="D38:F38"/>
    <mergeCell ref="D39:F39"/>
    <mergeCell ref="D40:F40"/>
    <mergeCell ref="D41:F41"/>
    <mergeCell ref="D42:F42"/>
    <mergeCell ref="D43:F43"/>
    <mergeCell ref="D44:F44"/>
    <mergeCell ref="D189:F189"/>
    <mergeCell ref="D190:F190"/>
    <mergeCell ref="D45:F45"/>
    <mergeCell ref="D184:F184"/>
    <mergeCell ref="D185:F185"/>
    <mergeCell ref="D186:F186"/>
    <mergeCell ref="D187:F187"/>
    <mergeCell ref="D188:F188"/>
    <mergeCell ref="D138:F138"/>
    <mergeCell ref="D180:F180"/>
    <mergeCell ref="D181:F181"/>
    <mergeCell ref="D182:F182"/>
    <mergeCell ref="D183:F18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J182"/>
  <sheetViews>
    <sheetView topLeftCell="B1" workbookViewId="0">
      <selection activeCell="M6" sqref="M6"/>
    </sheetView>
  </sheetViews>
  <sheetFormatPr defaultRowHeight="19.5" customHeight="1"/>
  <cols>
    <col min="1" max="1" width="5.85546875" style="91" customWidth="1"/>
    <col min="2" max="2" width="9.140625" style="91"/>
    <col min="3" max="3" width="35.42578125" style="236" customWidth="1"/>
    <col min="4" max="5" width="9.140625" style="87"/>
    <col min="6" max="6" width="11.140625" style="87" customWidth="1"/>
    <col min="7" max="7" width="11.85546875" style="87" customWidth="1"/>
    <col min="8" max="8" width="15.42578125" style="87" customWidth="1"/>
    <col min="9" max="9" width="11.85546875" style="87" customWidth="1"/>
    <col min="10" max="16384" width="9.140625" style="87"/>
  </cols>
  <sheetData>
    <row r="1" spans="1:10" ht="33" customHeight="1">
      <c r="A1" s="10"/>
      <c r="B1" s="11" t="s">
        <v>1</v>
      </c>
      <c r="C1" s="225" t="s">
        <v>138</v>
      </c>
      <c r="D1" s="6" t="s">
        <v>11</v>
      </c>
      <c r="E1" s="6" t="s">
        <v>223</v>
      </c>
      <c r="F1" s="7" t="s">
        <v>139</v>
      </c>
      <c r="G1" s="6" t="s">
        <v>202</v>
      </c>
      <c r="H1" s="45" t="s">
        <v>201</v>
      </c>
      <c r="I1" s="6" t="s">
        <v>175</v>
      </c>
    </row>
    <row r="2" spans="1:10" ht="22.5" customHeight="1">
      <c r="A2" s="122" t="s">
        <v>257</v>
      </c>
      <c r="B2" s="321" t="s">
        <v>351</v>
      </c>
      <c r="C2" s="322"/>
      <c r="D2" s="322"/>
      <c r="E2" s="322"/>
      <c r="F2" s="322"/>
      <c r="G2" s="124"/>
      <c r="H2" s="45"/>
      <c r="I2" s="124"/>
      <c r="J2" s="87">
        <v>250</v>
      </c>
    </row>
    <row r="3" spans="1:10" ht="15.75">
      <c r="A3" s="36">
        <v>1</v>
      </c>
      <c r="B3" s="36" t="s">
        <v>258</v>
      </c>
      <c r="C3" s="140" t="s">
        <v>216</v>
      </c>
      <c r="D3" s="142"/>
      <c r="E3" s="143"/>
      <c r="F3" s="144"/>
      <c r="G3" s="143"/>
      <c r="H3" s="145"/>
      <c r="I3" s="153">
        <f>SUM(I4:I6)</f>
        <v>5115.636363636364</v>
      </c>
    </row>
    <row r="4" spans="1:10" ht="15.75">
      <c r="A4" s="146"/>
      <c r="B4" s="147">
        <v>1</v>
      </c>
      <c r="C4" s="79" t="s">
        <v>284</v>
      </c>
      <c r="D4" s="148" t="s">
        <v>50</v>
      </c>
      <c r="E4" s="149">
        <v>0.5</v>
      </c>
      <c r="F4" s="150">
        <v>0.12</v>
      </c>
      <c r="G4" s="38">
        <f>H4/(J4*$J$2)</f>
        <v>36800</v>
      </c>
      <c r="H4" s="233">
        <f>VLOOKUP(C4,[1]TB!$B$3:$E$503,4,0)</f>
        <v>46000000</v>
      </c>
      <c r="I4" s="38">
        <f t="shared" ref="I4:I10" si="0">F4*G4</f>
        <v>4416</v>
      </c>
      <c r="J4" s="234">
        <f>VLOOKUP(C4,[1]TB!$B$3:$F$205,5,0)</f>
        <v>5</v>
      </c>
    </row>
    <row r="5" spans="1:10" ht="15.75">
      <c r="A5" s="146"/>
      <c r="B5" s="147">
        <v>2</v>
      </c>
      <c r="C5" s="79" t="s">
        <v>285</v>
      </c>
      <c r="D5" s="146" t="s">
        <v>22</v>
      </c>
      <c r="E5" s="149" t="s">
        <v>288</v>
      </c>
      <c r="F5" s="150">
        <v>0.08</v>
      </c>
      <c r="G5" s="38">
        <f t="shared" ref="G5:G6" si="1">H5/(J5*$J$2)</f>
        <v>7600</v>
      </c>
      <c r="H5" s="233">
        <f>VLOOKUP(C5,[1]TB!$B$3:$E$503,4,0)</f>
        <v>9500000</v>
      </c>
      <c r="I5" s="38">
        <f t="shared" si="0"/>
        <v>608</v>
      </c>
      <c r="J5" s="234">
        <f>VLOOKUP(C5,[1]TB!$B$3:$F$205,5,0)</f>
        <v>5</v>
      </c>
    </row>
    <row r="6" spans="1:10" ht="15.75">
      <c r="A6" s="146"/>
      <c r="B6" s="147">
        <v>3</v>
      </c>
      <c r="C6" s="79" t="s">
        <v>289</v>
      </c>
      <c r="D6" s="148" t="s">
        <v>286</v>
      </c>
      <c r="E6" s="149">
        <v>0.2</v>
      </c>
      <c r="F6" s="150">
        <v>0.04</v>
      </c>
      <c r="G6" s="38">
        <f t="shared" si="1"/>
        <v>2290.9090909090905</v>
      </c>
      <c r="H6" s="233">
        <f>VLOOKUP(C6,[1]TB!$B$3:$E$503,4,0)</f>
        <v>2863636.3636363633</v>
      </c>
      <c r="I6" s="38">
        <f t="shared" si="0"/>
        <v>91.636363636363626</v>
      </c>
      <c r="J6" s="234">
        <f>VLOOKUP(C6,[1]TB!$B$3:$F$205,5,0)</f>
        <v>5</v>
      </c>
    </row>
    <row r="7" spans="1:10" ht="15.75">
      <c r="A7" s="36">
        <v>2</v>
      </c>
      <c r="B7" s="36" t="s">
        <v>259</v>
      </c>
      <c r="C7" s="140" t="s">
        <v>218</v>
      </c>
      <c r="D7" s="143"/>
      <c r="E7" s="143"/>
      <c r="F7" s="144"/>
      <c r="G7" s="143"/>
      <c r="H7" s="233"/>
      <c r="I7" s="38">
        <f>SUM(I8:I10)</f>
        <v>5212.3054545454543</v>
      </c>
      <c r="J7" s="234"/>
    </row>
    <row r="8" spans="1:10" ht="15.75">
      <c r="A8" s="146"/>
      <c r="B8" s="151">
        <v>1</v>
      </c>
      <c r="C8" s="79" t="s">
        <v>284</v>
      </c>
      <c r="D8" s="146" t="s">
        <v>22</v>
      </c>
      <c r="E8" s="152" t="s">
        <v>287</v>
      </c>
      <c r="F8" s="150">
        <v>0.12</v>
      </c>
      <c r="G8" s="38">
        <f>H8/(J8*$J$2)</f>
        <v>36800</v>
      </c>
      <c r="H8" s="233">
        <f>VLOOKUP(C8,[1]TB!$B$3:$E$503,4,0)</f>
        <v>46000000</v>
      </c>
      <c r="I8" s="38">
        <f t="shared" si="0"/>
        <v>4416</v>
      </c>
      <c r="J8" s="234">
        <f>VLOOKUP(C8,[1]TB!$B$3:$F$205,5,0)</f>
        <v>5</v>
      </c>
    </row>
    <row r="9" spans="1:10" ht="15.75">
      <c r="A9" s="146"/>
      <c r="B9" s="151">
        <v>2</v>
      </c>
      <c r="C9" s="129" t="s">
        <v>225</v>
      </c>
      <c r="D9" s="146" t="s">
        <v>22</v>
      </c>
      <c r="E9" s="149" t="s">
        <v>288</v>
      </c>
      <c r="F9" s="150">
        <v>0.04</v>
      </c>
      <c r="G9" s="38">
        <f t="shared" ref="G9:G10" si="2">H9/(J9*$J$2)</f>
        <v>12307.636363636362</v>
      </c>
      <c r="H9" s="233">
        <f>VLOOKUP(C9,[1]TB!$B$3:$E$503,4,0)</f>
        <v>15384545.454545453</v>
      </c>
      <c r="I9" s="38">
        <f t="shared" si="0"/>
        <v>492.3054545454545</v>
      </c>
      <c r="J9" s="234">
        <f>VLOOKUP(C9,[1]TB!$B$3:$F$205,5,0)</f>
        <v>5</v>
      </c>
    </row>
    <row r="10" spans="1:10" ht="15.75">
      <c r="A10" s="146"/>
      <c r="B10" s="151">
        <v>3</v>
      </c>
      <c r="C10" s="79" t="s">
        <v>285</v>
      </c>
      <c r="D10" s="146" t="s">
        <v>22</v>
      </c>
      <c r="E10" s="149" t="s">
        <v>288</v>
      </c>
      <c r="F10" s="150">
        <v>0.04</v>
      </c>
      <c r="G10" s="38">
        <f t="shared" si="2"/>
        <v>7600</v>
      </c>
      <c r="H10" s="233">
        <f>VLOOKUP(C10,[1]TB!$B$3:$E$503,4,0)</f>
        <v>9500000</v>
      </c>
      <c r="I10" s="38">
        <f t="shared" si="0"/>
        <v>304</v>
      </c>
      <c r="J10" s="234">
        <f>VLOOKUP(C10,[1]TB!$B$3:$F$205,5,0)</f>
        <v>5</v>
      </c>
    </row>
    <row r="11" spans="1:10" ht="15.75">
      <c r="A11" s="146"/>
      <c r="B11" s="146"/>
      <c r="C11" s="112" t="s">
        <v>35</v>
      </c>
      <c r="D11" s="143"/>
      <c r="E11" s="143"/>
      <c r="F11" s="144"/>
      <c r="G11" s="143"/>
      <c r="H11" s="145"/>
      <c r="I11" s="143"/>
      <c r="J11" s="234">
        <f>VLOOKUP(C11,[1]TB!$B$3:$F$205,5,0)</f>
        <v>0</v>
      </c>
    </row>
    <row r="12" spans="1:10" ht="18.75">
      <c r="A12" s="109">
        <v>3</v>
      </c>
      <c r="B12" s="250" t="s">
        <v>260</v>
      </c>
      <c r="C12" s="112" t="s">
        <v>144</v>
      </c>
      <c r="D12" s="377" t="s">
        <v>290</v>
      </c>
      <c r="E12" s="378"/>
      <c r="F12" s="379"/>
      <c r="G12" s="124"/>
      <c r="H12" s="45"/>
      <c r="I12" s="123">
        <f>I7</f>
        <v>5212.3054545454543</v>
      </c>
      <c r="J12" s="234"/>
    </row>
    <row r="13" spans="1:10" ht="15.75" customHeight="1">
      <c r="A13" s="109">
        <v>4</v>
      </c>
      <c r="B13" s="250" t="s">
        <v>261</v>
      </c>
      <c r="C13" s="112" t="s">
        <v>5</v>
      </c>
      <c r="D13" s="377" t="s">
        <v>290</v>
      </c>
      <c r="E13" s="378"/>
      <c r="F13" s="379"/>
      <c r="G13" s="124"/>
      <c r="H13" s="45"/>
      <c r="I13" s="123">
        <f>I7</f>
        <v>5212.3054545454543</v>
      </c>
      <c r="J13" s="234"/>
    </row>
    <row r="14" spans="1:10" ht="18.75" customHeight="1">
      <c r="A14" s="132">
        <v>5</v>
      </c>
      <c r="B14" s="250" t="s">
        <v>262</v>
      </c>
      <c r="C14" s="133" t="s">
        <v>230</v>
      </c>
      <c r="D14" s="377" t="s">
        <v>290</v>
      </c>
      <c r="E14" s="378"/>
      <c r="F14" s="379"/>
      <c r="G14" s="124"/>
      <c r="H14" s="45"/>
      <c r="I14" s="123">
        <f>I7</f>
        <v>5212.3054545454543</v>
      </c>
      <c r="J14" s="234"/>
    </row>
    <row r="15" spans="1:10" ht="18.75" customHeight="1">
      <c r="A15" s="109">
        <v>6</v>
      </c>
      <c r="B15" s="250" t="s">
        <v>384</v>
      </c>
      <c r="C15" s="112" t="s">
        <v>387</v>
      </c>
      <c r="D15" s="377" t="s">
        <v>290</v>
      </c>
      <c r="E15" s="378"/>
      <c r="F15" s="379"/>
      <c r="G15" s="124"/>
      <c r="H15" s="45"/>
      <c r="I15" s="123">
        <f>I7</f>
        <v>5212.3054545454543</v>
      </c>
      <c r="J15" s="234"/>
    </row>
    <row r="16" spans="1:10" ht="18.75" customHeight="1">
      <c r="A16" s="109"/>
      <c r="B16" s="250" t="s">
        <v>385</v>
      </c>
      <c r="C16" s="112" t="s">
        <v>386</v>
      </c>
      <c r="D16" s="377" t="s">
        <v>290</v>
      </c>
      <c r="E16" s="378"/>
      <c r="F16" s="379"/>
      <c r="G16" s="242"/>
      <c r="H16" s="45"/>
      <c r="I16" s="243">
        <f>I15</f>
        <v>5212.3054545454543</v>
      </c>
      <c r="J16" s="234"/>
    </row>
    <row r="17" spans="1:10" ht="15.75" customHeight="1">
      <c r="A17" s="109">
        <v>7</v>
      </c>
      <c r="B17" s="250" t="s">
        <v>388</v>
      </c>
      <c r="C17" s="3" t="s">
        <v>343</v>
      </c>
      <c r="D17" s="377" t="s">
        <v>290</v>
      </c>
      <c r="E17" s="378"/>
      <c r="F17" s="379"/>
      <c r="G17" s="124"/>
      <c r="H17" s="45"/>
      <c r="I17" s="123">
        <f>I7</f>
        <v>5212.3054545454543</v>
      </c>
      <c r="J17" s="234"/>
    </row>
    <row r="18" spans="1:10" ht="15.75" customHeight="1">
      <c r="A18" s="109"/>
      <c r="B18" s="250" t="s">
        <v>389</v>
      </c>
      <c r="C18" s="3" t="s">
        <v>240</v>
      </c>
      <c r="D18" s="377" t="s">
        <v>290</v>
      </c>
      <c r="E18" s="378"/>
      <c r="F18" s="379"/>
      <c r="G18" s="242"/>
      <c r="H18" s="45"/>
      <c r="I18" s="243">
        <f>I15</f>
        <v>5212.3054545454543</v>
      </c>
      <c r="J18" s="234"/>
    </row>
    <row r="19" spans="1:10" ht="15.75" customHeight="1">
      <c r="A19" s="109">
        <v>8</v>
      </c>
      <c r="B19" s="250" t="s">
        <v>391</v>
      </c>
      <c r="C19" s="112" t="s">
        <v>390</v>
      </c>
      <c r="D19" s="377" t="s">
        <v>290</v>
      </c>
      <c r="E19" s="378"/>
      <c r="F19" s="379"/>
      <c r="G19" s="124"/>
      <c r="H19" s="45"/>
      <c r="I19" s="123">
        <f>I7</f>
        <v>5212.3054545454543</v>
      </c>
      <c r="J19" s="234"/>
    </row>
    <row r="20" spans="1:10" ht="15.75" customHeight="1">
      <c r="A20" s="109"/>
      <c r="B20" s="250" t="s">
        <v>392</v>
      </c>
      <c r="C20" s="112" t="s">
        <v>397</v>
      </c>
      <c r="D20" s="377" t="s">
        <v>290</v>
      </c>
      <c r="E20" s="378"/>
      <c r="F20" s="379"/>
      <c r="G20" s="242"/>
      <c r="H20" s="45"/>
      <c r="I20" s="243">
        <f>I15</f>
        <v>5212.3054545454543</v>
      </c>
      <c r="J20" s="234"/>
    </row>
    <row r="21" spans="1:10" ht="15.75" customHeight="1">
      <c r="A21" s="109"/>
      <c r="B21" s="250" t="s">
        <v>393</v>
      </c>
      <c r="C21" s="112" t="s">
        <v>398</v>
      </c>
      <c r="D21" s="377" t="s">
        <v>290</v>
      </c>
      <c r="E21" s="378"/>
      <c r="F21" s="379"/>
      <c r="G21" s="242"/>
      <c r="H21" s="45"/>
      <c r="I21" s="243">
        <f>I15</f>
        <v>5212.3054545454543</v>
      </c>
      <c r="J21" s="234"/>
    </row>
    <row r="22" spans="1:10" ht="15.75" customHeight="1">
      <c r="A22" s="109"/>
      <c r="B22" s="250" t="s">
        <v>394</v>
      </c>
      <c r="C22" s="112" t="s">
        <v>405</v>
      </c>
      <c r="D22" s="377" t="s">
        <v>290</v>
      </c>
      <c r="E22" s="378"/>
      <c r="F22" s="379"/>
      <c r="G22" s="242"/>
      <c r="H22" s="45"/>
      <c r="I22" s="243">
        <f>I15</f>
        <v>5212.3054545454543</v>
      </c>
      <c r="J22" s="234"/>
    </row>
    <row r="23" spans="1:10" ht="15.75" customHeight="1">
      <c r="A23" s="109"/>
      <c r="B23" s="250" t="s">
        <v>407</v>
      </c>
      <c r="C23" s="112" t="s">
        <v>399</v>
      </c>
      <c r="D23" s="377" t="s">
        <v>290</v>
      </c>
      <c r="E23" s="378"/>
      <c r="F23" s="379"/>
      <c r="G23" s="242"/>
      <c r="H23" s="45"/>
      <c r="I23" s="243">
        <f>I15</f>
        <v>5212.3054545454543</v>
      </c>
      <c r="J23" s="234"/>
    </row>
    <row r="24" spans="1:10" ht="15.75" customHeight="1">
      <c r="A24" s="109"/>
      <c r="B24" s="250" t="s">
        <v>395</v>
      </c>
      <c r="C24" s="112" t="s">
        <v>401</v>
      </c>
      <c r="D24" s="377" t="s">
        <v>290</v>
      </c>
      <c r="E24" s="378"/>
      <c r="F24" s="379"/>
      <c r="G24" s="242"/>
      <c r="H24" s="45"/>
      <c r="I24" s="243">
        <f>I15</f>
        <v>5212.3054545454543</v>
      </c>
      <c r="J24" s="234"/>
    </row>
    <row r="25" spans="1:10" ht="15.75" customHeight="1">
      <c r="A25" s="109"/>
      <c r="B25" s="250" t="s">
        <v>396</v>
      </c>
      <c r="C25" s="112" t="s">
        <v>400</v>
      </c>
      <c r="D25" s="377" t="s">
        <v>290</v>
      </c>
      <c r="E25" s="378"/>
      <c r="F25" s="379"/>
      <c r="G25" s="242"/>
      <c r="H25" s="45"/>
      <c r="I25" s="243">
        <f>I15</f>
        <v>5212.3054545454543</v>
      </c>
      <c r="J25" s="234"/>
    </row>
    <row r="26" spans="1:10" ht="15.75" customHeight="1">
      <c r="A26" s="109"/>
      <c r="B26" s="250" t="s">
        <v>408</v>
      </c>
      <c r="C26" s="112" t="s">
        <v>402</v>
      </c>
      <c r="D26" s="377" t="s">
        <v>290</v>
      </c>
      <c r="E26" s="378"/>
      <c r="F26" s="379"/>
      <c r="G26" s="242"/>
      <c r="H26" s="45"/>
      <c r="I26" s="243">
        <f>I15</f>
        <v>5212.3054545454543</v>
      </c>
      <c r="J26" s="234"/>
    </row>
    <row r="27" spans="1:10" ht="15.75" customHeight="1">
      <c r="A27" s="109"/>
      <c r="B27" s="250" t="s">
        <v>409</v>
      </c>
      <c r="C27" s="112" t="s">
        <v>403</v>
      </c>
      <c r="D27" s="377" t="s">
        <v>290</v>
      </c>
      <c r="E27" s="378"/>
      <c r="F27" s="379"/>
      <c r="G27" s="242"/>
      <c r="H27" s="45"/>
      <c r="I27" s="243">
        <f>I25</f>
        <v>5212.3054545454543</v>
      </c>
      <c r="J27" s="234"/>
    </row>
    <row r="28" spans="1:10" ht="15.75" customHeight="1">
      <c r="A28" s="109"/>
      <c r="B28" s="250" t="s">
        <v>410</v>
      </c>
      <c r="C28" s="112" t="s">
        <v>404</v>
      </c>
      <c r="D28" s="377" t="s">
        <v>290</v>
      </c>
      <c r="E28" s="378"/>
      <c r="F28" s="379"/>
      <c r="G28" s="242"/>
      <c r="H28" s="45"/>
      <c r="I28" s="243">
        <f>I25</f>
        <v>5212.3054545454543</v>
      </c>
      <c r="J28" s="234"/>
    </row>
    <row r="29" spans="1:10" ht="15.75" customHeight="1">
      <c r="A29" s="109"/>
      <c r="B29" s="250" t="s">
        <v>411</v>
      </c>
      <c r="C29" s="112" t="s">
        <v>406</v>
      </c>
      <c r="D29" s="377" t="s">
        <v>290</v>
      </c>
      <c r="E29" s="378"/>
      <c r="F29" s="379"/>
      <c r="G29" s="242"/>
      <c r="H29" s="45"/>
      <c r="I29" s="243">
        <f>I26</f>
        <v>5212.3054545454543</v>
      </c>
      <c r="J29" s="234"/>
    </row>
    <row r="30" spans="1:10" ht="15.75" customHeight="1">
      <c r="A30" s="109"/>
      <c r="B30" s="250" t="s">
        <v>434</v>
      </c>
      <c r="C30" s="112" t="s">
        <v>433</v>
      </c>
      <c r="D30" s="377" t="s">
        <v>290</v>
      </c>
      <c r="E30" s="378"/>
      <c r="F30" s="379"/>
      <c r="G30" s="242"/>
      <c r="H30" s="45"/>
      <c r="I30" s="243">
        <f>I27</f>
        <v>5212.3054545454543</v>
      </c>
      <c r="J30" s="234"/>
    </row>
    <row r="31" spans="1:10" ht="15.75" customHeight="1">
      <c r="A31" s="109">
        <v>9</v>
      </c>
      <c r="B31" s="250" t="s">
        <v>263</v>
      </c>
      <c r="C31" s="112" t="s">
        <v>4</v>
      </c>
      <c r="D31" s="377" t="s">
        <v>290</v>
      </c>
      <c r="E31" s="378"/>
      <c r="F31" s="379"/>
      <c r="G31" s="124"/>
      <c r="H31" s="45"/>
      <c r="I31" s="123">
        <f>I7</f>
        <v>5212.3054545454543</v>
      </c>
      <c r="J31" s="234"/>
    </row>
    <row r="32" spans="1:10" ht="15.75" customHeight="1">
      <c r="A32" s="132">
        <v>10</v>
      </c>
      <c r="B32" s="250" t="s">
        <v>264</v>
      </c>
      <c r="C32" s="133" t="s">
        <v>6</v>
      </c>
      <c r="D32" s="377" t="s">
        <v>290</v>
      </c>
      <c r="E32" s="378"/>
      <c r="F32" s="379"/>
      <c r="G32" s="124"/>
      <c r="H32" s="45"/>
      <c r="I32" s="123">
        <f>I7</f>
        <v>5212.3054545454543</v>
      </c>
      <c r="J32" s="234"/>
    </row>
    <row r="33" spans="1:10" ht="15.75" customHeight="1">
      <c r="A33" s="109">
        <v>11</v>
      </c>
      <c r="B33" s="250" t="s">
        <v>322</v>
      </c>
      <c r="C33" s="112" t="s">
        <v>7</v>
      </c>
      <c r="D33" s="377" t="s">
        <v>290</v>
      </c>
      <c r="E33" s="378"/>
      <c r="F33" s="379"/>
      <c r="G33" s="124"/>
      <c r="H33" s="45"/>
      <c r="I33" s="123">
        <f>I7</f>
        <v>5212.3054545454543</v>
      </c>
      <c r="J33" s="234"/>
    </row>
    <row r="34" spans="1:10" ht="15.75" customHeight="1">
      <c r="A34" s="109">
        <v>12</v>
      </c>
      <c r="B34" s="250" t="s">
        <v>321</v>
      </c>
      <c r="C34" s="112" t="s">
        <v>8</v>
      </c>
      <c r="D34" s="377" t="s">
        <v>290</v>
      </c>
      <c r="E34" s="378"/>
      <c r="F34" s="379"/>
      <c r="G34" s="124"/>
      <c r="H34" s="45"/>
      <c r="I34" s="123">
        <f>I7</f>
        <v>5212.3054545454543</v>
      </c>
      <c r="J34" s="234"/>
    </row>
    <row r="35" spans="1:10" ht="15.75" customHeight="1">
      <c r="A35" s="109">
        <v>13</v>
      </c>
      <c r="B35" s="250" t="s">
        <v>323</v>
      </c>
      <c r="C35" s="112" t="s">
        <v>231</v>
      </c>
      <c r="D35" s="377" t="s">
        <v>290</v>
      </c>
      <c r="E35" s="378"/>
      <c r="F35" s="379"/>
      <c r="G35" s="124"/>
      <c r="H35" s="45"/>
      <c r="I35" s="123">
        <f>I7</f>
        <v>5212.3054545454543</v>
      </c>
      <c r="J35" s="234"/>
    </row>
    <row r="36" spans="1:10" ht="15.75" customHeight="1">
      <c r="A36" s="109">
        <v>14</v>
      </c>
      <c r="B36" s="250" t="s">
        <v>324</v>
      </c>
      <c r="C36" s="112" t="s">
        <v>9</v>
      </c>
      <c r="D36" s="377" t="s">
        <v>290</v>
      </c>
      <c r="E36" s="378"/>
      <c r="F36" s="379"/>
      <c r="G36" s="124"/>
      <c r="H36" s="45"/>
      <c r="I36" s="123">
        <f>I7</f>
        <v>5212.3054545454543</v>
      </c>
      <c r="J36" s="234"/>
    </row>
    <row r="37" spans="1:10" ht="15.75" customHeight="1">
      <c r="A37" s="132">
        <v>15</v>
      </c>
      <c r="B37" s="250" t="s">
        <v>265</v>
      </c>
      <c r="C37" s="133" t="s">
        <v>143</v>
      </c>
      <c r="D37" s="377" t="s">
        <v>290</v>
      </c>
      <c r="E37" s="378"/>
      <c r="F37" s="379"/>
      <c r="G37" s="124"/>
      <c r="H37" s="45"/>
      <c r="I37" s="123">
        <f>I7</f>
        <v>5212.3054545454543</v>
      </c>
      <c r="J37" s="234"/>
    </row>
    <row r="38" spans="1:10" ht="16.5" customHeight="1">
      <c r="A38" s="10"/>
      <c r="B38" s="380" t="s">
        <v>352</v>
      </c>
      <c r="C38" s="380"/>
      <c r="D38" s="380"/>
      <c r="E38" s="380"/>
      <c r="F38" s="380"/>
      <c r="G38" s="380"/>
      <c r="H38" s="380"/>
      <c r="I38" s="380"/>
      <c r="J38" s="301">
        <v>500</v>
      </c>
    </row>
    <row r="39" spans="1:10" ht="21.75" customHeight="1">
      <c r="A39" s="10">
        <v>1</v>
      </c>
      <c r="B39" s="80" t="s">
        <v>318</v>
      </c>
      <c r="C39" s="235" t="s">
        <v>216</v>
      </c>
      <c r="D39" s="81"/>
      <c r="E39" s="82"/>
      <c r="F39" s="82"/>
      <c r="G39" s="38"/>
      <c r="H39" s="46"/>
      <c r="I39" s="88">
        <f>SUM(I40:I43)</f>
        <v>11125.272727272726</v>
      </c>
      <c r="J39" s="234"/>
    </row>
    <row r="40" spans="1:10" ht="21.75" customHeight="1">
      <c r="A40" s="10"/>
      <c r="B40" s="82">
        <v>1</v>
      </c>
      <c r="C40" s="83" t="s">
        <v>121</v>
      </c>
      <c r="D40" s="81" t="s">
        <v>16</v>
      </c>
      <c r="E40" s="82" t="s">
        <v>222</v>
      </c>
      <c r="F40" s="82">
        <v>0.4</v>
      </c>
      <c r="G40" s="38">
        <f t="shared" ref="G40:G43" si="3">H40/(J40*$J$38)</f>
        <v>5643.6363636363631</v>
      </c>
      <c r="H40" s="233">
        <f>VLOOKUP(C40,[1]TB!$B$3:$E$503,4,0)</f>
        <v>28218181.818181816</v>
      </c>
      <c r="I40" s="38">
        <f t="shared" ref="I40:I43" si="4">F40*G40</f>
        <v>2257.4545454545455</v>
      </c>
      <c r="J40" s="234">
        <f>VLOOKUP(C40,[1]TB!$B$3:$F$205,5,0)</f>
        <v>10</v>
      </c>
    </row>
    <row r="41" spans="1:10" ht="21.75" customHeight="1">
      <c r="A41" s="10"/>
      <c r="B41" s="82">
        <v>2</v>
      </c>
      <c r="C41" s="83" t="s">
        <v>348</v>
      </c>
      <c r="D41" s="81" t="s">
        <v>16</v>
      </c>
      <c r="E41" s="82" t="s">
        <v>224</v>
      </c>
      <c r="F41" s="82">
        <v>0.2</v>
      </c>
      <c r="G41" s="38">
        <f t="shared" si="3"/>
        <v>6818.1818181818171</v>
      </c>
      <c r="H41" s="233">
        <f>VLOOKUP(C41,[1]TB!$B$3:$E$503,4,0)</f>
        <v>27272727.27272727</v>
      </c>
      <c r="I41" s="38">
        <f t="shared" si="4"/>
        <v>1363.6363636363635</v>
      </c>
      <c r="J41" s="234">
        <f>VLOOKUP(C41,[1]TB!$B$3:$F$205,5,0)</f>
        <v>8</v>
      </c>
    </row>
    <row r="42" spans="1:10" ht="21.75" customHeight="1">
      <c r="A42" s="10"/>
      <c r="B42" s="82">
        <v>3</v>
      </c>
      <c r="C42" s="83" t="s">
        <v>228</v>
      </c>
      <c r="D42" s="81" t="s">
        <v>22</v>
      </c>
      <c r="E42" s="82">
        <v>0.3</v>
      </c>
      <c r="F42" s="82">
        <v>0.25</v>
      </c>
      <c r="G42" s="38">
        <f t="shared" ref="G42" si="5">H42/(J42*$J$38)</f>
        <v>29090.909090909088</v>
      </c>
      <c r="H42" s="233">
        <f>VLOOKUP(C42,[1]TB!$B$3:$E$503,4,0)</f>
        <v>72727272.727272719</v>
      </c>
      <c r="I42" s="38">
        <f t="shared" ref="I42" si="6">F42*G42</f>
        <v>7272.7272727272721</v>
      </c>
      <c r="J42" s="234">
        <f>VLOOKUP(C42,[1]TB!$B$3:$F$205,5,0)</f>
        <v>5</v>
      </c>
    </row>
    <row r="43" spans="1:10" ht="21.75" customHeight="1">
      <c r="A43" s="10"/>
      <c r="B43" s="82">
        <v>4</v>
      </c>
      <c r="C43" s="83" t="s">
        <v>122</v>
      </c>
      <c r="D43" s="81" t="s">
        <v>16</v>
      </c>
      <c r="E43" s="82">
        <v>2.2000000000000002</v>
      </c>
      <c r="F43" s="82">
        <v>6.7000000000000004E-2</v>
      </c>
      <c r="G43" s="38">
        <f t="shared" si="3"/>
        <v>3454.545454545454</v>
      </c>
      <c r="H43" s="233">
        <f>VLOOKUP(C43,[1]TB!$B$3:$E$503,4,0)</f>
        <v>8636363.6363636348</v>
      </c>
      <c r="I43" s="38">
        <f t="shared" si="4"/>
        <v>231.45454545454544</v>
      </c>
      <c r="J43" s="234">
        <f>VLOOKUP(C43,[1]TB!$B$3:$F$205,5,0)</f>
        <v>5</v>
      </c>
    </row>
    <row r="44" spans="1:10" ht="21.75" customHeight="1">
      <c r="A44" s="10"/>
      <c r="B44" s="82">
        <v>5</v>
      </c>
      <c r="C44" s="83" t="s">
        <v>35</v>
      </c>
      <c r="D44" s="81" t="s">
        <v>36</v>
      </c>
      <c r="E44" s="82"/>
      <c r="F44" s="82">
        <v>2.8220000000000001</v>
      </c>
      <c r="G44" s="38"/>
      <c r="H44" s="233">
        <f>VLOOKUP(C44,[1]TB!$B$3:$E$503,4,0)</f>
        <v>1670.9090909090908</v>
      </c>
      <c r="I44" s="38">
        <f>H44*F44</f>
        <v>4715.3054545454543</v>
      </c>
      <c r="J44" s="234">
        <f>VLOOKUP(C44,[1]TB!$B$3:$F$205,5,0)</f>
        <v>0</v>
      </c>
    </row>
    <row r="45" spans="1:10" ht="19.5" customHeight="1">
      <c r="A45" s="90">
        <v>2</v>
      </c>
      <c r="B45" s="90" t="s">
        <v>316</v>
      </c>
      <c r="C45" s="335" t="s">
        <v>218</v>
      </c>
      <c r="D45" s="335"/>
      <c r="E45" s="94"/>
      <c r="F45" s="95"/>
      <c r="G45" s="96"/>
      <c r="H45" s="233"/>
      <c r="I45" s="88">
        <f>SUM(I46:I51)</f>
        <v>25642.072727272724</v>
      </c>
      <c r="J45" s="234"/>
    </row>
    <row r="46" spans="1:10" ht="19.5" customHeight="1">
      <c r="A46" s="89"/>
      <c r="B46" s="89">
        <v>1</v>
      </c>
      <c r="C46" s="84" t="s">
        <v>225</v>
      </c>
      <c r="D46" s="41" t="s">
        <v>16</v>
      </c>
      <c r="E46" s="149" t="s">
        <v>288</v>
      </c>
      <c r="F46" s="97">
        <v>0.4</v>
      </c>
      <c r="G46" s="38">
        <f>H46/(J46*$J$38)</f>
        <v>6153.8181818181811</v>
      </c>
      <c r="H46" s="233">
        <f>VLOOKUP(C46,[1]TB!$B$3:$E$503,4,0)</f>
        <v>15384545.454545453</v>
      </c>
      <c r="I46" s="38">
        <f>F46*G46</f>
        <v>2461.5272727272727</v>
      </c>
      <c r="J46" s="234">
        <f>VLOOKUP(C46,[1]TB!$B$3:$F$205,5,0)</f>
        <v>5</v>
      </c>
    </row>
    <row r="47" spans="1:10" ht="19.5" customHeight="1">
      <c r="A47" s="89"/>
      <c r="B47" s="89">
        <v>2</v>
      </c>
      <c r="C47" s="84" t="s">
        <v>226</v>
      </c>
      <c r="D47" s="41" t="s">
        <v>16</v>
      </c>
      <c r="E47" s="41"/>
      <c r="F47" s="97">
        <v>0.2</v>
      </c>
      <c r="G47" s="38">
        <f>H47/(J47*$J$38)</f>
        <v>8000</v>
      </c>
      <c r="H47" s="233">
        <f>VLOOKUP(C47,[1]TB!$B$3:$E$503,4,0)</f>
        <v>20000000</v>
      </c>
      <c r="I47" s="38">
        <f>F47*G47</f>
        <v>1600</v>
      </c>
      <c r="J47" s="234">
        <f>VLOOKUP(C47,[1]TB!$B$3:$F$205,5,0)</f>
        <v>5</v>
      </c>
    </row>
    <row r="48" spans="1:10" ht="19.5" customHeight="1">
      <c r="A48" s="89"/>
      <c r="B48" s="89">
        <v>3</v>
      </c>
      <c r="C48" s="83" t="s">
        <v>359</v>
      </c>
      <c r="D48" s="41" t="s">
        <v>16</v>
      </c>
      <c r="E48" s="41">
        <v>0.16</v>
      </c>
      <c r="F48" s="97">
        <v>0.2</v>
      </c>
      <c r="G48" s="38">
        <f t="shared" ref="G48:G49" si="7">H48/(J48*$J$38)</f>
        <v>13363.636363636364</v>
      </c>
      <c r="H48" s="233">
        <f>VLOOKUP(C48,[1]TB!$B$3:$E$503,4,0)</f>
        <v>53454545.454545453</v>
      </c>
      <c r="I48" s="38">
        <f t="shared" ref="I48:I49" si="8">G48*F48</f>
        <v>2672.727272727273</v>
      </c>
      <c r="J48" s="234">
        <f>VLOOKUP(C48,[1]TB!$B$3:$F$205,5,0)</f>
        <v>8</v>
      </c>
    </row>
    <row r="49" spans="1:10" ht="19.5" customHeight="1">
      <c r="A49" s="89"/>
      <c r="B49" s="89">
        <v>4</v>
      </c>
      <c r="C49" s="83" t="s">
        <v>129</v>
      </c>
      <c r="D49" s="41" t="s">
        <v>16</v>
      </c>
      <c r="E49" s="41">
        <v>0.16</v>
      </c>
      <c r="F49" s="100">
        <v>0.2</v>
      </c>
      <c r="G49" s="38">
        <f t="shared" si="7"/>
        <v>21381.81818181818</v>
      </c>
      <c r="H49" s="233">
        <f>VLOOKUP(C49,[1]TB!$B$3:$E$503,4,0)</f>
        <v>53454545.454545453</v>
      </c>
      <c r="I49" s="38">
        <f t="shared" si="8"/>
        <v>4276.363636363636</v>
      </c>
      <c r="J49" s="234">
        <f>VLOOKUP(C49,[1]TB!$B$3:$F$205,5,0)</f>
        <v>5</v>
      </c>
    </row>
    <row r="50" spans="1:10" ht="19.5" customHeight="1">
      <c r="A50" s="89"/>
      <c r="B50" s="89">
        <v>5</v>
      </c>
      <c r="C50" s="83" t="s">
        <v>363</v>
      </c>
      <c r="D50" s="41" t="s">
        <v>22</v>
      </c>
      <c r="E50" s="41">
        <v>0.18</v>
      </c>
      <c r="F50" s="97">
        <v>0.4</v>
      </c>
      <c r="G50" s="38">
        <f t="shared" ref="G50:G140" si="9">H50/(J50*$J$38)</f>
        <v>36000</v>
      </c>
      <c r="H50" s="233">
        <f>VLOOKUP(C50,[1]TB!$B$3:$E$503,4,0)</f>
        <v>90000000</v>
      </c>
      <c r="I50" s="38">
        <f t="shared" ref="I50:I51" si="10">F50*G50</f>
        <v>14400</v>
      </c>
      <c r="J50" s="234">
        <f>VLOOKUP(C50,[1]TB!$B$3:$F$205,5,0)</f>
        <v>5</v>
      </c>
    </row>
    <row r="51" spans="1:10" ht="19.5" customHeight="1">
      <c r="A51" s="89"/>
      <c r="B51" s="89">
        <v>6</v>
      </c>
      <c r="C51" s="83" t="s">
        <v>122</v>
      </c>
      <c r="D51" s="41" t="s">
        <v>16</v>
      </c>
      <c r="E51" s="82">
        <v>2.2000000000000002</v>
      </c>
      <c r="F51" s="82">
        <v>6.7000000000000004E-2</v>
      </c>
      <c r="G51" s="38">
        <f t="shared" si="9"/>
        <v>3454.545454545454</v>
      </c>
      <c r="H51" s="233">
        <f>VLOOKUP(C51,[1]TB!$B$3:$E$503,4,0)</f>
        <v>8636363.6363636348</v>
      </c>
      <c r="I51" s="38">
        <f t="shared" si="10"/>
        <v>231.45454545454544</v>
      </c>
      <c r="J51" s="234">
        <f>VLOOKUP(C51,[1]TB!$B$3:$F$205,5,0)</f>
        <v>5</v>
      </c>
    </row>
    <row r="52" spans="1:10" ht="19.5" customHeight="1">
      <c r="A52" s="89"/>
      <c r="B52" s="89">
        <v>7</v>
      </c>
      <c r="C52" s="83" t="s">
        <v>35</v>
      </c>
      <c r="D52" s="41" t="s">
        <v>36</v>
      </c>
      <c r="E52" s="41"/>
      <c r="F52" s="97">
        <v>4.0449999999999999</v>
      </c>
      <c r="G52" s="38"/>
      <c r="H52" s="233">
        <f>VLOOKUP(C52,[1]TB!$B$3:$E$503,4,0)</f>
        <v>1670.9090909090908</v>
      </c>
      <c r="I52" s="38">
        <f>H52*F52</f>
        <v>6758.8272727272724</v>
      </c>
      <c r="J52" s="234">
        <f>VLOOKUP(C52,[1]TB!$B$3:$F$205,5,0)</f>
        <v>0</v>
      </c>
    </row>
    <row r="53" spans="1:10" ht="19.5" customHeight="1">
      <c r="A53" s="90">
        <v>3</v>
      </c>
      <c r="B53" s="90" t="s">
        <v>317</v>
      </c>
      <c r="C53" s="382" t="s">
        <v>141</v>
      </c>
      <c r="D53" s="382"/>
      <c r="E53" s="382"/>
      <c r="F53" s="382"/>
      <c r="G53" s="38"/>
      <c r="H53" s="233"/>
      <c r="I53" s="88">
        <f>SUM(I54:I61)</f>
        <v>36138</v>
      </c>
      <c r="J53" s="234"/>
    </row>
    <row r="54" spans="1:10" ht="19.5" customHeight="1">
      <c r="A54" s="89"/>
      <c r="B54" s="89">
        <v>1</v>
      </c>
      <c r="C54" s="40" t="s">
        <v>121</v>
      </c>
      <c r="D54" s="41" t="s">
        <v>50</v>
      </c>
      <c r="E54" s="41">
        <v>0.3</v>
      </c>
      <c r="F54" s="82">
        <v>0.4</v>
      </c>
      <c r="G54" s="38">
        <f t="shared" ref="G54:G61" si="11">H54/(J54*$J$38)</f>
        <v>5643.6363636363631</v>
      </c>
      <c r="H54" s="233">
        <f>VLOOKUP(C54,[1]TB!$B$3:$E$503,4,0)</f>
        <v>28218181.818181816</v>
      </c>
      <c r="I54" s="38">
        <f t="shared" ref="I54:I61" si="12">G54*F54</f>
        <v>2257.4545454545455</v>
      </c>
      <c r="J54" s="234">
        <f>VLOOKUP(C54,[1]TB!$B$3:$F$205,5,0)</f>
        <v>10</v>
      </c>
    </row>
    <row r="55" spans="1:10" ht="19.5" customHeight="1">
      <c r="A55" s="89"/>
      <c r="B55" s="89">
        <v>2</v>
      </c>
      <c r="C55" s="223" t="s">
        <v>228</v>
      </c>
      <c r="D55" s="81" t="s">
        <v>22</v>
      </c>
      <c r="E55" s="41">
        <v>0.3</v>
      </c>
      <c r="F55" s="82">
        <v>0.25</v>
      </c>
      <c r="G55" s="38">
        <f t="shared" si="11"/>
        <v>29090.909090909088</v>
      </c>
      <c r="H55" s="233">
        <f>VLOOKUP(C55,[1]TB!$B$3:$E$503,4,0)</f>
        <v>72727272.727272719</v>
      </c>
      <c r="I55" s="38">
        <f t="shared" si="12"/>
        <v>7272.7272727272721</v>
      </c>
      <c r="J55" s="234">
        <f>VLOOKUP(C55,[1]TB!$B$3:$F$205,5,0)</f>
        <v>5</v>
      </c>
    </row>
    <row r="56" spans="1:10" ht="19.5" customHeight="1">
      <c r="A56" s="89"/>
      <c r="B56" s="89">
        <v>3</v>
      </c>
      <c r="C56" s="83" t="s">
        <v>359</v>
      </c>
      <c r="D56" s="41" t="s">
        <v>50</v>
      </c>
      <c r="E56" s="41">
        <v>0.16</v>
      </c>
      <c r="F56" s="97">
        <v>0.2</v>
      </c>
      <c r="G56" s="38">
        <f t="shared" si="11"/>
        <v>13363.636363636364</v>
      </c>
      <c r="H56" s="233">
        <f>VLOOKUP(C56,[1]TB!$B$3:$E$503,4,0)</f>
        <v>53454545.454545453</v>
      </c>
      <c r="I56" s="38">
        <f t="shared" si="12"/>
        <v>2672.727272727273</v>
      </c>
      <c r="J56" s="234">
        <f>VLOOKUP(C56,[1]TB!$B$3:$F$205,5,0)</f>
        <v>8</v>
      </c>
    </row>
    <row r="57" spans="1:10" ht="19.5" customHeight="1">
      <c r="A57" s="89"/>
      <c r="B57" s="89">
        <v>4</v>
      </c>
      <c r="C57" s="40" t="s">
        <v>129</v>
      </c>
      <c r="D57" s="41" t="s">
        <v>50</v>
      </c>
      <c r="E57" s="41">
        <v>0.16</v>
      </c>
      <c r="F57" s="42">
        <v>0.2</v>
      </c>
      <c r="G57" s="38">
        <f t="shared" si="11"/>
        <v>21381.81818181818</v>
      </c>
      <c r="H57" s="233">
        <f>VLOOKUP(C57,[1]TB!$B$3:$E$503,4,0)</f>
        <v>53454545.454545453</v>
      </c>
      <c r="I57" s="38">
        <f t="shared" si="12"/>
        <v>4276.363636363636</v>
      </c>
      <c r="J57" s="234">
        <f>VLOOKUP(C57,[1]TB!$B$3:$F$205,5,0)</f>
        <v>5</v>
      </c>
    </row>
    <row r="58" spans="1:10" ht="19.5" customHeight="1">
      <c r="A58" s="89"/>
      <c r="B58" s="89">
        <v>5</v>
      </c>
      <c r="C58" s="83" t="s">
        <v>348</v>
      </c>
      <c r="D58" s="81" t="s">
        <v>16</v>
      </c>
      <c r="E58" s="41">
        <v>0.06</v>
      </c>
      <c r="F58" s="82">
        <v>0.2</v>
      </c>
      <c r="G58" s="38">
        <f t="shared" si="11"/>
        <v>6818.1818181818171</v>
      </c>
      <c r="H58" s="233">
        <f>VLOOKUP(C58,[1]TB!$B$3:$E$503,4,0)</f>
        <v>27272727.27272727</v>
      </c>
      <c r="I58" s="38">
        <f t="shared" si="12"/>
        <v>1363.6363636363635</v>
      </c>
      <c r="J58" s="234">
        <f>VLOOKUP(C58,[1]TB!$B$3:$F$205,5,0)</f>
        <v>8</v>
      </c>
    </row>
    <row r="59" spans="1:10" ht="19.5" customHeight="1">
      <c r="A59" s="89"/>
      <c r="B59" s="89">
        <v>6</v>
      </c>
      <c r="C59" s="83" t="s">
        <v>124</v>
      </c>
      <c r="D59" s="41" t="s">
        <v>22</v>
      </c>
      <c r="E59" s="41">
        <v>0.55000000000000004</v>
      </c>
      <c r="F59" s="42">
        <v>0.2</v>
      </c>
      <c r="G59" s="38">
        <f t="shared" si="11"/>
        <v>18318.181818181816</v>
      </c>
      <c r="H59" s="233">
        <f>VLOOKUP(C59,[1]TB!$B$3:$E$503,4,0)</f>
        <v>91590909.090909079</v>
      </c>
      <c r="I59" s="38">
        <f t="shared" si="12"/>
        <v>3663.6363636363635</v>
      </c>
      <c r="J59" s="234">
        <f>VLOOKUP(C59,[1]TB!$B$3:$F$205,5,0)</f>
        <v>10</v>
      </c>
    </row>
    <row r="60" spans="1:10" ht="19.5" customHeight="1">
      <c r="A60" s="89"/>
      <c r="B60" s="89">
        <v>7</v>
      </c>
      <c r="C60" s="83" t="s">
        <v>363</v>
      </c>
      <c r="D60" s="41" t="s">
        <v>22</v>
      </c>
      <c r="E60" s="41">
        <v>0.18</v>
      </c>
      <c r="F60" s="97">
        <v>0.4</v>
      </c>
      <c r="G60" s="38">
        <f t="shared" si="11"/>
        <v>36000</v>
      </c>
      <c r="H60" s="233">
        <f>VLOOKUP(C60,[1]TB!$B$3:$E$503,4,0)</f>
        <v>90000000</v>
      </c>
      <c r="I60" s="38">
        <f t="shared" si="12"/>
        <v>14400</v>
      </c>
      <c r="J60" s="234">
        <f>VLOOKUP(C60,[1]TB!$B$3:$F$205,5,0)</f>
        <v>5</v>
      </c>
    </row>
    <row r="61" spans="1:10" ht="19.5" customHeight="1">
      <c r="A61" s="89"/>
      <c r="B61" s="89">
        <v>8</v>
      </c>
      <c r="C61" s="40" t="s">
        <v>122</v>
      </c>
      <c r="D61" s="41" t="s">
        <v>50</v>
      </c>
      <c r="E61" s="82">
        <v>2.2000000000000002</v>
      </c>
      <c r="F61" s="82">
        <v>6.7000000000000004E-2</v>
      </c>
      <c r="G61" s="38">
        <f t="shared" si="11"/>
        <v>3454.545454545454</v>
      </c>
      <c r="H61" s="233">
        <f>VLOOKUP(C61,[1]TB!$B$3:$E$503,4,0)</f>
        <v>8636363.6363636348</v>
      </c>
      <c r="I61" s="38">
        <f t="shared" si="12"/>
        <v>231.45454545454544</v>
      </c>
      <c r="J61" s="234">
        <f>VLOOKUP(C61,[1]TB!$B$3:$F$205,5,0)</f>
        <v>5</v>
      </c>
    </row>
    <row r="62" spans="1:10" ht="19.5" customHeight="1">
      <c r="A62" s="89"/>
      <c r="B62" s="89">
        <v>9</v>
      </c>
      <c r="C62" s="40" t="s">
        <v>35</v>
      </c>
      <c r="D62" s="41" t="s">
        <v>65</v>
      </c>
      <c r="E62" s="41"/>
      <c r="F62" s="42">
        <v>20.5</v>
      </c>
      <c r="G62" s="38"/>
      <c r="H62" s="233">
        <f>VLOOKUP(C62,[1]TB!$B$3:$E$503,4,0)</f>
        <v>1670.9090909090908</v>
      </c>
      <c r="I62" s="38">
        <f>H62*F62</f>
        <v>34253.63636363636</v>
      </c>
      <c r="J62" s="234">
        <f>VLOOKUP(C62,[1]TB!$B$3:$F$205,5,0)</f>
        <v>0</v>
      </c>
    </row>
    <row r="63" spans="1:10" ht="19.5" customHeight="1">
      <c r="A63" s="90">
        <v>4</v>
      </c>
      <c r="B63" s="90" t="s">
        <v>319</v>
      </c>
      <c r="C63" s="98" t="s">
        <v>140</v>
      </c>
      <c r="D63" s="6"/>
      <c r="E63" s="6"/>
      <c r="F63" s="99"/>
      <c r="G63" s="38"/>
      <c r="H63" s="233"/>
      <c r="I63" s="92">
        <f>SUM(I64:I72)</f>
        <v>46444.167272727274</v>
      </c>
      <c r="J63" s="234"/>
    </row>
    <row r="64" spans="1:10" ht="19.5" customHeight="1">
      <c r="A64" s="89"/>
      <c r="B64" s="89">
        <v>1</v>
      </c>
      <c r="C64" s="83" t="s">
        <v>121</v>
      </c>
      <c r="D64" s="41" t="s">
        <v>16</v>
      </c>
      <c r="E64" s="41">
        <v>0.3</v>
      </c>
      <c r="F64" s="82">
        <v>0.4</v>
      </c>
      <c r="G64" s="38">
        <f>H64/(J64*$J$38)</f>
        <v>5643.6363636363631</v>
      </c>
      <c r="H64" s="233">
        <f>VLOOKUP(C64,[1]TB!$B$3:$E$503,4,0)</f>
        <v>28218181.818181816</v>
      </c>
      <c r="I64" s="38">
        <f>G64*F64</f>
        <v>2257.4545454545455</v>
      </c>
      <c r="J64" s="234">
        <f>VLOOKUP(C64,[1]TB!$B$3:$F$205,5,0)</f>
        <v>10</v>
      </c>
    </row>
    <row r="65" spans="1:10" ht="19.5" customHeight="1">
      <c r="A65" s="89"/>
      <c r="B65" s="89">
        <v>2</v>
      </c>
      <c r="C65" s="223" t="s">
        <v>228</v>
      </c>
      <c r="D65" s="81" t="s">
        <v>22</v>
      </c>
      <c r="E65" s="41">
        <v>0.3</v>
      </c>
      <c r="F65" s="82">
        <v>0.25</v>
      </c>
      <c r="G65" s="38">
        <f t="shared" ref="G65:G67" si="13">H65/(J65*$J$38)</f>
        <v>29090.909090909088</v>
      </c>
      <c r="H65" s="233">
        <f>VLOOKUP(C65,[1]TB!$B$3:$E$503,4,0)</f>
        <v>72727272.727272719</v>
      </c>
      <c r="I65" s="38">
        <f t="shared" ref="I65:I67" si="14">G65*F65</f>
        <v>7272.7272727272721</v>
      </c>
      <c r="J65" s="234">
        <f>VLOOKUP(C65,[1]TB!$B$3:$F$205,5,0)</f>
        <v>5</v>
      </c>
    </row>
    <row r="66" spans="1:10" ht="19.5" customHeight="1">
      <c r="A66" s="89"/>
      <c r="B66" s="89">
        <v>3</v>
      </c>
      <c r="C66" s="83" t="s">
        <v>359</v>
      </c>
      <c r="D66" s="41" t="s">
        <v>16</v>
      </c>
      <c r="E66" s="41">
        <v>0.16</v>
      </c>
      <c r="F66" s="97">
        <v>0.2</v>
      </c>
      <c r="G66" s="38">
        <f t="shared" si="13"/>
        <v>13363.636363636364</v>
      </c>
      <c r="H66" s="233">
        <f>VLOOKUP(C66,[1]TB!$B$3:$E$503,4,0)</f>
        <v>53454545.454545453</v>
      </c>
      <c r="I66" s="38">
        <f t="shared" si="14"/>
        <v>2672.727272727273</v>
      </c>
      <c r="J66" s="234">
        <f>VLOOKUP(C66,[1]TB!$B$3:$F$205,5,0)</f>
        <v>8</v>
      </c>
    </row>
    <row r="67" spans="1:10" ht="19.5" customHeight="1">
      <c r="A67" s="89"/>
      <c r="B67" s="89">
        <v>4</v>
      </c>
      <c r="C67" s="83" t="s">
        <v>129</v>
      </c>
      <c r="D67" s="41" t="s">
        <v>16</v>
      </c>
      <c r="E67" s="41">
        <v>0.16</v>
      </c>
      <c r="F67" s="100">
        <v>0.2</v>
      </c>
      <c r="G67" s="38">
        <f t="shared" si="13"/>
        <v>21381.81818181818</v>
      </c>
      <c r="H67" s="233">
        <f>VLOOKUP(C67,[1]TB!$B$3:$E$503,4,0)</f>
        <v>53454545.454545453</v>
      </c>
      <c r="I67" s="38">
        <f t="shared" si="14"/>
        <v>4276.363636363636</v>
      </c>
      <c r="J67" s="234">
        <f>VLOOKUP(C67,[1]TB!$B$3:$F$205,5,0)</f>
        <v>5</v>
      </c>
    </row>
    <row r="68" spans="1:10" ht="19.5" customHeight="1">
      <c r="A68" s="89"/>
      <c r="B68" s="89">
        <v>5</v>
      </c>
      <c r="C68" s="83" t="s">
        <v>348</v>
      </c>
      <c r="D68" s="81" t="s">
        <v>16</v>
      </c>
      <c r="E68" s="41">
        <v>0.06</v>
      </c>
      <c r="F68" s="82">
        <v>0.2</v>
      </c>
      <c r="G68" s="38">
        <f>H68/(J68*$J$38)</f>
        <v>6818.1818181818171</v>
      </c>
      <c r="H68" s="233">
        <f>VLOOKUP(C68,[1]TB!$B$3:$E$503,4,0)</f>
        <v>27272727.27272727</v>
      </c>
      <c r="I68" s="38">
        <f>G68*F68</f>
        <v>1363.6363636363635</v>
      </c>
      <c r="J68" s="234">
        <f>VLOOKUP(C68,[1]TB!$B$3:$F$205,5,0)</f>
        <v>8</v>
      </c>
    </row>
    <row r="69" spans="1:10" ht="19.5" customHeight="1">
      <c r="A69" s="89"/>
      <c r="B69" s="89">
        <v>6</v>
      </c>
      <c r="C69" s="83" t="s">
        <v>124</v>
      </c>
      <c r="D69" s="41" t="s">
        <v>22</v>
      </c>
      <c r="E69" s="41">
        <v>0.55000000000000004</v>
      </c>
      <c r="F69" s="97">
        <v>0.2</v>
      </c>
      <c r="G69" s="38">
        <f>H69/(J69*$J$38)</f>
        <v>18318.181818181816</v>
      </c>
      <c r="H69" s="233">
        <f>VLOOKUP(C69,[1]TB!$B$3:$E$503,4,0)</f>
        <v>91590909.090909079</v>
      </c>
      <c r="I69" s="38">
        <f>G69*F69</f>
        <v>3663.6363636363635</v>
      </c>
      <c r="J69" s="234">
        <f>VLOOKUP(C69,[1]TB!$B$3:$F$205,5,0)</f>
        <v>10</v>
      </c>
    </row>
    <row r="70" spans="1:10" ht="19.5" customHeight="1">
      <c r="A70" s="89"/>
      <c r="B70" s="89">
        <v>7</v>
      </c>
      <c r="C70" s="83" t="s">
        <v>363</v>
      </c>
      <c r="D70" s="41" t="s">
        <v>22</v>
      </c>
      <c r="E70" s="41">
        <v>0.18</v>
      </c>
      <c r="F70" s="97">
        <v>0.4</v>
      </c>
      <c r="G70" s="38">
        <f>H70/(J70*$J$38)</f>
        <v>36000</v>
      </c>
      <c r="H70" s="233">
        <f>VLOOKUP(C70,[1]TB!$B$3:$E$503,4,0)</f>
        <v>90000000</v>
      </c>
      <c r="I70" s="38">
        <f>G70*F70</f>
        <v>14400</v>
      </c>
      <c r="J70" s="234">
        <f>VLOOKUP(C70,[1]TB!$B$3:$F$205,5,0)</f>
        <v>5</v>
      </c>
    </row>
    <row r="71" spans="1:10" ht="19.5" customHeight="1">
      <c r="A71" s="89"/>
      <c r="B71" s="89">
        <v>8</v>
      </c>
      <c r="C71" s="83" t="s">
        <v>122</v>
      </c>
      <c r="D71" s="41" t="s">
        <v>16</v>
      </c>
      <c r="E71" s="82">
        <v>2.2000000000000002</v>
      </c>
      <c r="F71" s="82">
        <v>6.7000000000000004E-2</v>
      </c>
      <c r="G71" s="38">
        <f>H71/(J71*$J$38)</f>
        <v>3454.545454545454</v>
      </c>
      <c r="H71" s="233">
        <f>VLOOKUP(C71,[1]TB!$B$3:$E$503,4,0)</f>
        <v>8636363.6363636348</v>
      </c>
      <c r="I71" s="38">
        <f>G71*F71</f>
        <v>231.45454545454544</v>
      </c>
      <c r="J71" s="234">
        <f>VLOOKUP(C71,[1]TB!$B$3:$F$205,5,0)</f>
        <v>5</v>
      </c>
    </row>
    <row r="72" spans="1:10" ht="19.5" customHeight="1">
      <c r="A72" s="89"/>
      <c r="B72" s="89">
        <v>9</v>
      </c>
      <c r="C72" s="83" t="s">
        <v>35</v>
      </c>
      <c r="D72" s="41" t="s">
        <v>36</v>
      </c>
      <c r="E72" s="41"/>
      <c r="F72" s="97">
        <v>6.1680000000000001</v>
      </c>
      <c r="G72" s="38"/>
      <c r="H72" s="233">
        <f>VLOOKUP(C72,[1]TB!$B$3:$E$503,4,0)</f>
        <v>1670.9090909090908</v>
      </c>
      <c r="I72" s="38">
        <f>H72*F72</f>
        <v>10306.167272727273</v>
      </c>
      <c r="J72" s="234">
        <f>VLOOKUP(C72,[1]TB!$B$3:$F$205,5,0)</f>
        <v>0</v>
      </c>
    </row>
    <row r="73" spans="1:10" ht="19.5" customHeight="1">
      <c r="A73" s="90">
        <v>5</v>
      </c>
      <c r="B73" s="90" t="s">
        <v>229</v>
      </c>
      <c r="C73" s="98" t="s">
        <v>242</v>
      </c>
      <c r="D73" s="6"/>
      <c r="E73" s="6"/>
      <c r="F73" s="99"/>
      <c r="G73" s="38"/>
      <c r="H73" s="233"/>
      <c r="I73" s="92">
        <f>SUM(I74:I82)</f>
        <v>46444.167272727274</v>
      </c>
      <c r="J73" s="234"/>
    </row>
    <row r="74" spans="1:10" ht="19.5" customHeight="1">
      <c r="A74" s="89"/>
      <c r="B74" s="89">
        <v>1</v>
      </c>
      <c r="C74" s="83" t="s">
        <v>121</v>
      </c>
      <c r="D74" s="41" t="s">
        <v>16</v>
      </c>
      <c r="E74" s="41">
        <v>0.3</v>
      </c>
      <c r="F74" s="82">
        <v>0.4</v>
      </c>
      <c r="G74" s="38">
        <f>H74/(J74*$J$38)</f>
        <v>5643.6363636363631</v>
      </c>
      <c r="H74" s="233">
        <f>VLOOKUP(C74,[1]TB!$B$3:$E$503,4,0)</f>
        <v>28218181.818181816</v>
      </c>
      <c r="I74" s="38">
        <f>G74*F74</f>
        <v>2257.4545454545455</v>
      </c>
      <c r="J74" s="234">
        <f>VLOOKUP(C74,[1]TB!$B$3:$F$205,5,0)</f>
        <v>10</v>
      </c>
    </row>
    <row r="75" spans="1:10" ht="19.5" customHeight="1">
      <c r="A75" s="89"/>
      <c r="B75" s="89">
        <v>2</v>
      </c>
      <c r="C75" s="223" t="s">
        <v>228</v>
      </c>
      <c r="D75" s="81" t="s">
        <v>22</v>
      </c>
      <c r="E75" s="41">
        <v>0.3</v>
      </c>
      <c r="F75" s="82">
        <v>0.25</v>
      </c>
      <c r="G75" s="38">
        <f t="shared" ref="G75:G77" si="15">H75/(J75*$J$38)</f>
        <v>29090.909090909088</v>
      </c>
      <c r="H75" s="233">
        <f>VLOOKUP(C75,[1]TB!$B$3:$E$503,4,0)</f>
        <v>72727272.727272719</v>
      </c>
      <c r="I75" s="38">
        <f t="shared" ref="I75:I77" si="16">G75*F75</f>
        <v>7272.7272727272721</v>
      </c>
      <c r="J75" s="234">
        <f>VLOOKUP(C75,[1]TB!$B$3:$F$205,5,0)</f>
        <v>5</v>
      </c>
    </row>
    <row r="76" spans="1:10" ht="19.5" customHeight="1">
      <c r="A76" s="89"/>
      <c r="B76" s="89">
        <v>3</v>
      </c>
      <c r="C76" s="83" t="s">
        <v>359</v>
      </c>
      <c r="D76" s="41" t="s">
        <v>16</v>
      </c>
      <c r="E76" s="41">
        <v>0.16</v>
      </c>
      <c r="F76" s="97">
        <v>0.2</v>
      </c>
      <c r="G76" s="38">
        <f t="shared" si="15"/>
        <v>13363.636363636364</v>
      </c>
      <c r="H76" s="233">
        <f>VLOOKUP(C76,[1]TB!$B$3:$E$503,4,0)</f>
        <v>53454545.454545453</v>
      </c>
      <c r="I76" s="38">
        <f t="shared" si="16"/>
        <v>2672.727272727273</v>
      </c>
      <c r="J76" s="234">
        <f>VLOOKUP(C76,[1]TB!$B$3:$F$205,5,0)</f>
        <v>8</v>
      </c>
    </row>
    <row r="77" spans="1:10" ht="19.5" customHeight="1">
      <c r="A77" s="89"/>
      <c r="B77" s="89">
        <v>4</v>
      </c>
      <c r="C77" s="83" t="s">
        <v>129</v>
      </c>
      <c r="D77" s="41" t="s">
        <v>16</v>
      </c>
      <c r="E77" s="41">
        <v>0.16</v>
      </c>
      <c r="F77" s="100">
        <v>0.2</v>
      </c>
      <c r="G77" s="38">
        <f t="shared" si="15"/>
        <v>21381.81818181818</v>
      </c>
      <c r="H77" s="233">
        <f>VLOOKUP(C77,[1]TB!$B$3:$E$503,4,0)</f>
        <v>53454545.454545453</v>
      </c>
      <c r="I77" s="38">
        <f t="shared" si="16"/>
        <v>4276.363636363636</v>
      </c>
      <c r="J77" s="234">
        <f>VLOOKUP(C77,[1]TB!$B$3:$F$205,5,0)</f>
        <v>5</v>
      </c>
    </row>
    <row r="78" spans="1:10" ht="19.5" customHeight="1">
      <c r="A78" s="89"/>
      <c r="B78" s="89">
        <v>5</v>
      </c>
      <c r="C78" s="83" t="s">
        <v>348</v>
      </c>
      <c r="D78" s="81" t="s">
        <v>16</v>
      </c>
      <c r="E78" s="41">
        <v>0.06</v>
      </c>
      <c r="F78" s="82">
        <v>0.2</v>
      </c>
      <c r="G78" s="38">
        <f>H78/(J78*$J$38)</f>
        <v>6818.1818181818171</v>
      </c>
      <c r="H78" s="233">
        <f>VLOOKUP(C78,[1]TB!$B$3:$E$503,4,0)</f>
        <v>27272727.27272727</v>
      </c>
      <c r="I78" s="38">
        <f>G78*F78</f>
        <v>1363.6363636363635</v>
      </c>
      <c r="J78" s="234">
        <f>VLOOKUP(C78,[1]TB!$B$3:$F$205,5,0)</f>
        <v>8</v>
      </c>
    </row>
    <row r="79" spans="1:10" ht="19.5" customHeight="1">
      <c r="A79" s="89"/>
      <c r="B79" s="89">
        <v>6</v>
      </c>
      <c r="C79" s="83" t="s">
        <v>124</v>
      </c>
      <c r="D79" s="41" t="s">
        <v>22</v>
      </c>
      <c r="E79" s="41">
        <v>0.55000000000000004</v>
      </c>
      <c r="F79" s="97">
        <v>0.2</v>
      </c>
      <c r="G79" s="38">
        <f>H79/(J79*$J$38)</f>
        <v>18318.181818181816</v>
      </c>
      <c r="H79" s="233">
        <f>VLOOKUP(C79,[1]TB!$B$3:$E$503,4,0)</f>
        <v>91590909.090909079</v>
      </c>
      <c r="I79" s="38">
        <f>G79*F79</f>
        <v>3663.6363636363635</v>
      </c>
      <c r="J79" s="234">
        <f>VLOOKUP(C79,[1]TB!$B$3:$F$205,5,0)</f>
        <v>10</v>
      </c>
    </row>
    <row r="80" spans="1:10" ht="19.5" customHeight="1">
      <c r="A80" s="89"/>
      <c r="B80" s="89">
        <v>7</v>
      </c>
      <c r="C80" s="83" t="s">
        <v>363</v>
      </c>
      <c r="D80" s="41" t="s">
        <v>22</v>
      </c>
      <c r="E80" s="41">
        <v>0.18</v>
      </c>
      <c r="F80" s="97">
        <v>0.4</v>
      </c>
      <c r="G80" s="38">
        <f>H80/(J80*$J$38)</f>
        <v>36000</v>
      </c>
      <c r="H80" s="233">
        <f>VLOOKUP(C80,[1]TB!$B$3:$E$503,4,0)</f>
        <v>90000000</v>
      </c>
      <c r="I80" s="38">
        <f>G80*F80</f>
        <v>14400</v>
      </c>
      <c r="J80" s="234">
        <f>VLOOKUP(C80,[1]TB!$B$3:$F$205,5,0)</f>
        <v>5</v>
      </c>
    </row>
    <row r="81" spans="1:10" ht="19.5" customHeight="1">
      <c r="A81" s="89"/>
      <c r="B81" s="89">
        <v>8</v>
      </c>
      <c r="C81" s="83" t="s">
        <v>122</v>
      </c>
      <c r="D81" s="41" t="s">
        <v>16</v>
      </c>
      <c r="E81" s="82">
        <v>2.2000000000000002</v>
      </c>
      <c r="F81" s="82">
        <v>6.7000000000000004E-2</v>
      </c>
      <c r="G81" s="38">
        <f>H81/(J81*$J$38)</f>
        <v>3454.545454545454</v>
      </c>
      <c r="H81" s="233">
        <f>VLOOKUP(C81,[1]TB!$B$3:$E$503,4,0)</f>
        <v>8636363.6363636348</v>
      </c>
      <c r="I81" s="38">
        <f>G81*F81</f>
        <v>231.45454545454544</v>
      </c>
      <c r="J81" s="234">
        <f>VLOOKUP(C81,[1]TB!$B$3:$F$205,5,0)</f>
        <v>5</v>
      </c>
    </row>
    <row r="82" spans="1:10" ht="19.5" customHeight="1">
      <c r="A82" s="89"/>
      <c r="B82" s="89">
        <v>9</v>
      </c>
      <c r="C82" s="83" t="s">
        <v>35</v>
      </c>
      <c r="D82" s="41" t="s">
        <v>36</v>
      </c>
      <c r="E82" s="41"/>
      <c r="F82" s="97">
        <v>6.1680000000000001</v>
      </c>
      <c r="G82" s="38"/>
      <c r="H82" s="233">
        <f>VLOOKUP(C82,[1]TB!$B$3:$E$503,4,0)</f>
        <v>1670.9090909090908</v>
      </c>
      <c r="I82" s="38">
        <f>H82*F82</f>
        <v>10306.167272727273</v>
      </c>
      <c r="J82" s="234">
        <f>VLOOKUP(C82,[1]TB!$B$3:$F$205,5,0)</f>
        <v>0</v>
      </c>
    </row>
    <row r="83" spans="1:10" ht="19.5" customHeight="1">
      <c r="A83" s="90">
        <v>6</v>
      </c>
      <c r="B83" s="90" t="s">
        <v>413</v>
      </c>
      <c r="C83" s="240" t="s">
        <v>435</v>
      </c>
      <c r="D83" s="44"/>
      <c r="E83" s="44"/>
      <c r="F83" s="95"/>
      <c r="G83" s="38"/>
      <c r="H83" s="233"/>
      <c r="I83" s="88">
        <f>SUM(I84:I93)</f>
        <v>102783.45454545453</v>
      </c>
      <c r="J83" s="234"/>
    </row>
    <row r="84" spans="1:10" ht="19.5" customHeight="1">
      <c r="A84" s="89"/>
      <c r="B84" s="89">
        <v>1</v>
      </c>
      <c r="C84" s="83" t="s">
        <v>123</v>
      </c>
      <c r="D84" s="41" t="s">
        <v>16</v>
      </c>
      <c r="E84" s="41">
        <v>0.1</v>
      </c>
      <c r="F84" s="12">
        <v>0.2</v>
      </c>
      <c r="G84" s="38">
        <f>H84/(J84*$J$38)</f>
        <v>52690.909090909088</v>
      </c>
      <c r="H84" s="233">
        <f>VLOOKUP(C84,[1]TB!$B$3:$E$503,4,0)</f>
        <v>131727272.72727272</v>
      </c>
      <c r="I84" s="38">
        <f>G84*F84</f>
        <v>10538.181818181818</v>
      </c>
      <c r="J84" s="234">
        <f>VLOOKUP(C84,[1]TB!$B$3:$F$205,5,0)</f>
        <v>5</v>
      </c>
    </row>
    <row r="85" spans="1:10" ht="19.5" customHeight="1">
      <c r="A85" s="89"/>
      <c r="B85" s="89">
        <v>2</v>
      </c>
      <c r="C85" s="223" t="s">
        <v>228</v>
      </c>
      <c r="D85" s="81" t="s">
        <v>22</v>
      </c>
      <c r="E85" s="41">
        <v>0.3</v>
      </c>
      <c r="F85" s="82">
        <v>0.25</v>
      </c>
      <c r="G85" s="38">
        <f t="shared" ref="G85" si="17">H85/(J85*$J$38)</f>
        <v>29090.909090909088</v>
      </c>
      <c r="H85" s="233">
        <f>VLOOKUP(C85,[1]TB!$B$3:$E$503,4,0)</f>
        <v>72727272.727272719</v>
      </c>
      <c r="I85" s="38">
        <f t="shared" ref="I85" si="18">G85*F85</f>
        <v>7272.7272727272721</v>
      </c>
      <c r="J85" s="234">
        <f>VLOOKUP(C85,[1]TB!$B$3:$F$205,5,0)</f>
        <v>5</v>
      </c>
    </row>
    <row r="86" spans="1:10" ht="19.5" customHeight="1">
      <c r="A86" s="89"/>
      <c r="B86" s="89">
        <v>3</v>
      </c>
      <c r="C86" s="83" t="s">
        <v>121</v>
      </c>
      <c r="D86" s="41" t="s">
        <v>16</v>
      </c>
      <c r="E86" s="41">
        <v>0.3</v>
      </c>
      <c r="F86" s="82">
        <v>0.4</v>
      </c>
      <c r="G86" s="38">
        <f t="shared" ref="G86:G93" si="19">H86/(J86*$J$38)</f>
        <v>5643.6363636363631</v>
      </c>
      <c r="H86" s="233">
        <f>VLOOKUP(C86,[1]TB!$B$3:$E$503,4,0)</f>
        <v>28218181.818181816</v>
      </c>
      <c r="I86" s="38">
        <f t="shared" ref="I86:I93" si="20">G86*F86</f>
        <v>2257.4545454545455</v>
      </c>
      <c r="J86" s="234">
        <f>VLOOKUP(C86,[1]TB!$B$3:$F$205,5,0)</f>
        <v>10</v>
      </c>
    </row>
    <row r="87" spans="1:10" ht="19.5" customHeight="1">
      <c r="A87" s="89"/>
      <c r="B87" s="89">
        <v>4</v>
      </c>
      <c r="C87" s="83" t="s">
        <v>359</v>
      </c>
      <c r="D87" s="41" t="s">
        <v>16</v>
      </c>
      <c r="E87" s="41">
        <v>0.16</v>
      </c>
      <c r="F87" s="97">
        <v>0.2</v>
      </c>
      <c r="G87" s="38">
        <f t="shared" si="19"/>
        <v>13363.636363636364</v>
      </c>
      <c r="H87" s="233">
        <f>VLOOKUP(C87,[1]TB!$B$3:$E$503,4,0)</f>
        <v>53454545.454545453</v>
      </c>
      <c r="I87" s="38">
        <f t="shared" si="20"/>
        <v>2672.727272727273</v>
      </c>
      <c r="J87" s="234">
        <f>VLOOKUP(C87,[1]TB!$B$3:$F$205,5,0)</f>
        <v>8</v>
      </c>
    </row>
    <row r="88" spans="1:10" ht="19.5" customHeight="1">
      <c r="A88" s="89"/>
      <c r="B88" s="89">
        <v>5</v>
      </c>
      <c r="C88" s="83" t="s">
        <v>129</v>
      </c>
      <c r="D88" s="41" t="s">
        <v>16</v>
      </c>
      <c r="E88" s="41">
        <v>0.16</v>
      </c>
      <c r="F88" s="100">
        <v>0.2</v>
      </c>
      <c r="G88" s="38">
        <f t="shared" si="19"/>
        <v>21381.81818181818</v>
      </c>
      <c r="H88" s="233">
        <f>VLOOKUP(C88,[1]TB!$B$3:$E$503,4,0)</f>
        <v>53454545.454545453</v>
      </c>
      <c r="I88" s="38">
        <f t="shared" si="20"/>
        <v>4276.363636363636</v>
      </c>
      <c r="J88" s="234">
        <f>VLOOKUP(C88,[1]TB!$B$3:$F$205,5,0)</f>
        <v>5</v>
      </c>
    </row>
    <row r="89" spans="1:10" ht="19.5" customHeight="1">
      <c r="A89" s="89"/>
      <c r="B89" s="89">
        <v>6</v>
      </c>
      <c r="C89" s="83" t="s">
        <v>126</v>
      </c>
      <c r="D89" s="41" t="s">
        <v>22</v>
      </c>
      <c r="E89" s="41">
        <v>2.2999999999999998</v>
      </c>
      <c r="F89" s="12">
        <v>0.2</v>
      </c>
      <c r="G89" s="38">
        <f t="shared" si="19"/>
        <v>10309.090909090908</v>
      </c>
      <c r="H89" s="233">
        <f>VLOOKUP(C89,[1]TB!$B$3:$E$503,4,0)</f>
        <v>25772727.27272727</v>
      </c>
      <c r="I89" s="38">
        <f t="shared" si="20"/>
        <v>2061.8181818181815</v>
      </c>
      <c r="J89" s="234">
        <f>VLOOKUP(C89,[1]TB!$B$3:$F$205,5,0)</f>
        <v>5</v>
      </c>
    </row>
    <row r="90" spans="1:10" ht="19.5" customHeight="1">
      <c r="A90" s="89"/>
      <c r="B90" s="89">
        <v>7</v>
      </c>
      <c r="C90" s="83" t="s">
        <v>348</v>
      </c>
      <c r="D90" s="81" t="s">
        <v>16</v>
      </c>
      <c r="E90" s="41">
        <v>0.06</v>
      </c>
      <c r="F90" s="82">
        <v>0.2</v>
      </c>
      <c r="G90" s="38">
        <f t="shared" si="19"/>
        <v>6818.1818181818171</v>
      </c>
      <c r="H90" s="233">
        <f>VLOOKUP(C90,[1]TB!$B$3:$E$503,4,0)</f>
        <v>27272727.27272727</v>
      </c>
      <c r="I90" s="38">
        <f t="shared" si="20"/>
        <v>1363.6363636363635</v>
      </c>
      <c r="J90" s="234">
        <f>VLOOKUP(C90,[1]TB!$B$3:$F$205,5,0)</f>
        <v>8</v>
      </c>
    </row>
    <row r="91" spans="1:10" ht="19.5" customHeight="1">
      <c r="A91" s="89"/>
      <c r="B91" s="89">
        <v>8</v>
      </c>
      <c r="C91" s="83" t="s">
        <v>127</v>
      </c>
      <c r="D91" s="41" t="s">
        <v>22</v>
      </c>
      <c r="E91" s="41">
        <v>3</v>
      </c>
      <c r="F91" s="12">
        <v>0.3</v>
      </c>
      <c r="G91" s="38">
        <f t="shared" si="19"/>
        <v>192363.63636363635</v>
      </c>
      <c r="H91" s="233">
        <f>VLOOKUP(C91,[1]TB!$B$3:$E$503,4,0)</f>
        <v>961818181.81818175</v>
      </c>
      <c r="I91" s="38">
        <f t="shared" si="20"/>
        <v>57709.090909090904</v>
      </c>
      <c r="J91" s="234">
        <f>VLOOKUP(C91,[1]TB!$B$3:$F$205,5,0)</f>
        <v>10</v>
      </c>
    </row>
    <row r="92" spans="1:10" ht="19.5" customHeight="1">
      <c r="A92" s="89"/>
      <c r="B92" s="89">
        <v>9</v>
      </c>
      <c r="C92" s="83" t="s">
        <v>363</v>
      </c>
      <c r="D92" s="41" t="s">
        <v>22</v>
      </c>
      <c r="E92" s="41">
        <v>0.18</v>
      </c>
      <c r="F92" s="97">
        <v>0.4</v>
      </c>
      <c r="G92" s="38">
        <f t="shared" si="19"/>
        <v>36000</v>
      </c>
      <c r="H92" s="233">
        <f>VLOOKUP(C92,[1]TB!$B$3:$E$503,4,0)</f>
        <v>90000000</v>
      </c>
      <c r="I92" s="38">
        <f t="shared" si="20"/>
        <v>14400</v>
      </c>
      <c r="J92" s="234">
        <f>VLOOKUP(C92,[1]TB!$B$3:$F$205,5,0)</f>
        <v>5</v>
      </c>
    </row>
    <row r="93" spans="1:10" ht="19.5" customHeight="1">
      <c r="A93" s="89"/>
      <c r="B93" s="89">
        <v>10</v>
      </c>
      <c r="C93" s="83" t="s">
        <v>122</v>
      </c>
      <c r="D93" s="41" t="s">
        <v>16</v>
      </c>
      <c r="E93" s="82">
        <v>2.2000000000000002</v>
      </c>
      <c r="F93" s="82">
        <v>6.7000000000000004E-2</v>
      </c>
      <c r="G93" s="38">
        <f t="shared" si="19"/>
        <v>3454.545454545454</v>
      </c>
      <c r="H93" s="233">
        <f>VLOOKUP(C93,[1]TB!$B$3:$E$503,4,0)</f>
        <v>8636363.6363636348</v>
      </c>
      <c r="I93" s="38">
        <f t="shared" si="20"/>
        <v>231.45454545454544</v>
      </c>
      <c r="J93" s="234">
        <f>VLOOKUP(C93,[1]TB!$B$3:$F$205,5,0)</f>
        <v>5</v>
      </c>
    </row>
    <row r="94" spans="1:10" ht="19.5" customHeight="1">
      <c r="A94" s="89"/>
      <c r="B94" s="89">
        <v>11</v>
      </c>
      <c r="C94" s="83" t="s">
        <v>35</v>
      </c>
      <c r="D94" s="41" t="s">
        <v>36</v>
      </c>
      <c r="E94" s="41"/>
      <c r="F94" s="100">
        <v>20.100000000000001</v>
      </c>
      <c r="G94" s="38"/>
      <c r="H94" s="233">
        <f>VLOOKUP(C94,[1]TB!$B$3:$E$503,4,0)</f>
        <v>1670.9090909090908</v>
      </c>
      <c r="I94" s="38">
        <f>H94*F94</f>
        <v>33585.272727272728</v>
      </c>
      <c r="J94" s="234">
        <f>VLOOKUP(C94,[1]TB!$B$3:$F$205,5,0)</f>
        <v>0</v>
      </c>
    </row>
    <row r="95" spans="1:10" ht="19.5" customHeight="1">
      <c r="A95" s="89"/>
      <c r="B95" s="90" t="s">
        <v>414</v>
      </c>
      <c r="C95" s="240" t="s">
        <v>436</v>
      </c>
      <c r="D95" s="41"/>
      <c r="E95" s="374" t="s">
        <v>428</v>
      </c>
      <c r="F95" s="375"/>
      <c r="G95" s="376"/>
      <c r="H95" s="233"/>
      <c r="I95" s="92">
        <f>I83</f>
        <v>102783.45454545453</v>
      </c>
      <c r="J95" s="234"/>
    </row>
    <row r="96" spans="1:10" ht="19.5" customHeight="1">
      <c r="A96" s="90">
        <v>7</v>
      </c>
      <c r="B96" s="90" t="s">
        <v>227</v>
      </c>
      <c r="C96" s="224" t="s">
        <v>241</v>
      </c>
      <c r="D96" s="44"/>
      <c r="E96" s="44"/>
      <c r="F96" s="95"/>
      <c r="G96" s="38"/>
      <c r="H96" s="233"/>
      <c r="I96" s="88">
        <f>SUM(I97:I107)</f>
        <v>119437.99999999999</v>
      </c>
      <c r="J96" s="234"/>
    </row>
    <row r="97" spans="1:10" ht="19.5" customHeight="1">
      <c r="A97" s="89"/>
      <c r="B97" s="89">
        <v>1</v>
      </c>
      <c r="C97" s="83" t="s">
        <v>123</v>
      </c>
      <c r="D97" s="41" t="s">
        <v>16</v>
      </c>
      <c r="E97" s="41">
        <v>0.1</v>
      </c>
      <c r="F97" s="12">
        <v>0.2</v>
      </c>
      <c r="G97" s="38">
        <f>H97/(J97*$J$38)</f>
        <v>52690.909090909088</v>
      </c>
      <c r="H97" s="233">
        <f>VLOOKUP(C97,[1]TB!$B$3:$E$503,4,0)</f>
        <v>131727272.72727272</v>
      </c>
      <c r="I97" s="38">
        <f>G97*F97</f>
        <v>10538.181818181818</v>
      </c>
      <c r="J97" s="234">
        <f>VLOOKUP(C97,[1]TB!$B$3:$F$205,5,0)</f>
        <v>5</v>
      </c>
    </row>
    <row r="98" spans="1:10" ht="19.5" customHeight="1">
      <c r="A98" s="89"/>
      <c r="B98" s="89">
        <v>2</v>
      </c>
      <c r="C98" s="223" t="s">
        <v>228</v>
      </c>
      <c r="D98" s="81" t="s">
        <v>22</v>
      </c>
      <c r="E98" s="41">
        <v>0.3</v>
      </c>
      <c r="F98" s="82">
        <v>0.25</v>
      </c>
      <c r="G98" s="38">
        <f t="shared" ref="G98" si="21">H98/(J98*$J$38)</f>
        <v>29090.909090909088</v>
      </c>
      <c r="H98" s="233">
        <f>VLOOKUP(C98,[1]TB!$B$3:$E$503,4,0)</f>
        <v>72727272.727272719</v>
      </c>
      <c r="I98" s="38">
        <f t="shared" ref="I98" si="22">G98*F98</f>
        <v>7272.7272727272721</v>
      </c>
      <c r="J98" s="234">
        <f>VLOOKUP(C98,[1]TB!$B$3:$F$205,5,0)</f>
        <v>5</v>
      </c>
    </row>
    <row r="99" spans="1:10" ht="19.5" customHeight="1">
      <c r="A99" s="89"/>
      <c r="B99" s="89">
        <v>3</v>
      </c>
      <c r="C99" s="83" t="s">
        <v>121</v>
      </c>
      <c r="D99" s="41" t="s">
        <v>16</v>
      </c>
      <c r="E99" s="41">
        <v>0.3</v>
      </c>
      <c r="F99" s="82">
        <v>0.4</v>
      </c>
      <c r="G99" s="38">
        <f t="shared" ref="G99:G107" si="23">H99/(J99*$J$38)</f>
        <v>5643.6363636363631</v>
      </c>
      <c r="H99" s="233">
        <f>VLOOKUP(C99,[1]TB!$B$3:$E$503,4,0)</f>
        <v>28218181.818181816</v>
      </c>
      <c r="I99" s="38">
        <f t="shared" ref="I99:I107" si="24">G99*F99</f>
        <v>2257.4545454545455</v>
      </c>
      <c r="J99" s="234">
        <f>VLOOKUP(C99,[1]TB!$B$3:$F$205,5,0)</f>
        <v>10</v>
      </c>
    </row>
    <row r="100" spans="1:10" ht="19.5" customHeight="1">
      <c r="A100" s="89"/>
      <c r="B100" s="89">
        <v>4</v>
      </c>
      <c r="C100" s="83" t="s">
        <v>359</v>
      </c>
      <c r="D100" s="41" t="s">
        <v>16</v>
      </c>
      <c r="E100" s="41">
        <v>0.16</v>
      </c>
      <c r="F100" s="97">
        <v>0.2</v>
      </c>
      <c r="G100" s="38">
        <f t="shared" si="23"/>
        <v>13363.636363636364</v>
      </c>
      <c r="H100" s="233">
        <f>VLOOKUP(C100,[1]TB!$B$3:$E$503,4,0)</f>
        <v>53454545.454545453</v>
      </c>
      <c r="I100" s="38">
        <f t="shared" si="24"/>
        <v>2672.727272727273</v>
      </c>
      <c r="J100" s="234">
        <f>VLOOKUP(C100,[1]TB!$B$3:$F$205,5,0)</f>
        <v>8</v>
      </c>
    </row>
    <row r="101" spans="1:10" ht="19.5" customHeight="1">
      <c r="A101" s="89"/>
      <c r="B101" s="89">
        <v>5</v>
      </c>
      <c r="C101" s="83" t="s">
        <v>129</v>
      </c>
      <c r="D101" s="41" t="s">
        <v>16</v>
      </c>
      <c r="E101" s="41">
        <v>0.16</v>
      </c>
      <c r="F101" s="100">
        <v>0.2</v>
      </c>
      <c r="G101" s="38">
        <f t="shared" si="23"/>
        <v>21381.81818181818</v>
      </c>
      <c r="H101" s="233">
        <f>VLOOKUP(C101,[1]TB!$B$3:$E$503,4,0)</f>
        <v>53454545.454545453</v>
      </c>
      <c r="I101" s="38">
        <f t="shared" si="24"/>
        <v>4276.363636363636</v>
      </c>
      <c r="J101" s="234">
        <f>VLOOKUP(C101,[1]TB!$B$3:$F$205,5,0)</f>
        <v>5</v>
      </c>
    </row>
    <row r="102" spans="1:10" ht="19.5" customHeight="1">
      <c r="A102" s="89"/>
      <c r="B102" s="89">
        <v>6</v>
      </c>
      <c r="C102" s="83" t="s">
        <v>126</v>
      </c>
      <c r="D102" s="41" t="s">
        <v>22</v>
      </c>
      <c r="E102" s="41">
        <v>2.2999999999999998</v>
      </c>
      <c r="F102" s="12">
        <v>0.2</v>
      </c>
      <c r="G102" s="38">
        <f t="shared" si="23"/>
        <v>10309.090909090908</v>
      </c>
      <c r="H102" s="233">
        <f>VLOOKUP(C102,[1]TB!$B$3:$E$503,4,0)</f>
        <v>25772727.27272727</v>
      </c>
      <c r="I102" s="38">
        <f t="shared" si="24"/>
        <v>2061.8181818181815</v>
      </c>
      <c r="J102" s="234">
        <f>VLOOKUP(C102,[1]TB!$B$3:$F$205,5,0)</f>
        <v>5</v>
      </c>
    </row>
    <row r="103" spans="1:10" ht="19.5" customHeight="1">
      <c r="A103" s="89"/>
      <c r="B103" s="89">
        <v>7</v>
      </c>
      <c r="C103" s="83" t="s">
        <v>348</v>
      </c>
      <c r="D103" s="81" t="s">
        <v>16</v>
      </c>
      <c r="E103" s="41">
        <v>0.06</v>
      </c>
      <c r="F103" s="82">
        <v>0.2</v>
      </c>
      <c r="G103" s="38">
        <f t="shared" si="23"/>
        <v>6818.1818181818171</v>
      </c>
      <c r="H103" s="233">
        <f>VLOOKUP(C103,[1]TB!$B$3:$E$503,4,0)</f>
        <v>27272727.27272727</v>
      </c>
      <c r="I103" s="38">
        <f t="shared" si="24"/>
        <v>1363.6363636363635</v>
      </c>
      <c r="J103" s="234">
        <f>VLOOKUP(C103,[1]TB!$B$3:$F$205,5,0)</f>
        <v>8</v>
      </c>
    </row>
    <row r="104" spans="1:10" ht="19.5" customHeight="1">
      <c r="A104" s="89"/>
      <c r="B104" s="89">
        <v>8</v>
      </c>
      <c r="C104" s="83" t="s">
        <v>127</v>
      </c>
      <c r="D104" s="41" t="s">
        <v>22</v>
      </c>
      <c r="E104" s="41">
        <v>3</v>
      </c>
      <c r="F104" s="12">
        <v>0.3</v>
      </c>
      <c r="G104" s="38">
        <f t="shared" si="23"/>
        <v>192363.63636363635</v>
      </c>
      <c r="H104" s="233">
        <f>VLOOKUP(C104,[1]TB!$B$3:$E$503,4,0)</f>
        <v>961818181.81818175</v>
      </c>
      <c r="I104" s="38">
        <f t="shared" si="24"/>
        <v>57709.090909090904</v>
      </c>
      <c r="J104" s="234">
        <f>VLOOKUP(C104,[1]TB!$B$3:$F$205,5,0)</f>
        <v>10</v>
      </c>
    </row>
    <row r="105" spans="1:10" ht="19.5" customHeight="1">
      <c r="A105" s="89"/>
      <c r="B105" s="89">
        <v>9</v>
      </c>
      <c r="C105" s="83" t="s">
        <v>128</v>
      </c>
      <c r="D105" s="41" t="s">
        <v>22</v>
      </c>
      <c r="E105" s="41">
        <v>0.6</v>
      </c>
      <c r="F105" s="12">
        <v>0.4</v>
      </c>
      <c r="G105" s="38">
        <f t="shared" si="23"/>
        <v>41636.363636363632</v>
      </c>
      <c r="H105" s="233">
        <f>VLOOKUP(C105,[1]TB!$B$3:$E$503,4,0)</f>
        <v>208181818.18181816</v>
      </c>
      <c r="I105" s="38">
        <f t="shared" si="24"/>
        <v>16654.545454545452</v>
      </c>
      <c r="J105" s="234">
        <f>VLOOKUP(C105,[1]TB!$B$3:$F$205,5,0)</f>
        <v>10</v>
      </c>
    </row>
    <row r="106" spans="1:10" ht="19.5" customHeight="1">
      <c r="A106" s="89"/>
      <c r="B106" s="89">
        <v>10</v>
      </c>
      <c r="C106" s="83" t="s">
        <v>363</v>
      </c>
      <c r="D106" s="41" t="s">
        <v>22</v>
      </c>
      <c r="E106" s="41">
        <v>0.18</v>
      </c>
      <c r="F106" s="97">
        <v>0.4</v>
      </c>
      <c r="G106" s="38">
        <f t="shared" si="23"/>
        <v>36000</v>
      </c>
      <c r="H106" s="233">
        <f>VLOOKUP(C106,[1]TB!$B$3:$E$503,4,0)</f>
        <v>90000000</v>
      </c>
      <c r="I106" s="38">
        <f t="shared" si="24"/>
        <v>14400</v>
      </c>
      <c r="J106" s="234">
        <f>VLOOKUP(C106,[1]TB!$B$3:$F$205,5,0)</f>
        <v>5</v>
      </c>
    </row>
    <row r="107" spans="1:10" ht="19.5" customHeight="1">
      <c r="A107" s="89"/>
      <c r="B107" s="89">
        <v>11</v>
      </c>
      <c r="C107" s="83" t="s">
        <v>122</v>
      </c>
      <c r="D107" s="41" t="s">
        <v>16</v>
      </c>
      <c r="E107" s="82">
        <v>2.2000000000000002</v>
      </c>
      <c r="F107" s="82">
        <v>6.7000000000000004E-2</v>
      </c>
      <c r="G107" s="38">
        <f t="shared" si="23"/>
        <v>3454.545454545454</v>
      </c>
      <c r="H107" s="233">
        <f>VLOOKUP(C107,[1]TB!$B$3:$E$503,4,0)</f>
        <v>8636363.6363636348</v>
      </c>
      <c r="I107" s="38">
        <f t="shared" si="24"/>
        <v>231.45454545454544</v>
      </c>
      <c r="J107" s="234">
        <f>VLOOKUP(C107,[1]TB!$B$3:$F$205,5,0)</f>
        <v>5</v>
      </c>
    </row>
    <row r="108" spans="1:10" ht="19.5" customHeight="1">
      <c r="A108" s="89"/>
      <c r="B108" s="89">
        <v>12</v>
      </c>
      <c r="C108" s="83" t="s">
        <v>35</v>
      </c>
      <c r="D108" s="41" t="s">
        <v>36</v>
      </c>
      <c r="E108" s="41"/>
      <c r="F108" s="12">
        <v>29.16</v>
      </c>
      <c r="G108" s="38"/>
      <c r="H108" s="233">
        <f>VLOOKUP(C108,[1]TB!$B$3:$E$503,4,0)</f>
        <v>1670.9090909090908</v>
      </c>
      <c r="I108" s="38">
        <f>H108*F108</f>
        <v>48723.709090909084</v>
      </c>
      <c r="J108" s="234">
        <f>VLOOKUP(C108,[1]TB!$B$3:$F$205,5,0)</f>
        <v>0</v>
      </c>
    </row>
    <row r="109" spans="1:10" ht="19.5" customHeight="1">
      <c r="A109" s="89"/>
      <c r="B109" s="90" t="s">
        <v>243</v>
      </c>
      <c r="C109" s="224" t="s">
        <v>240</v>
      </c>
      <c r="D109" s="44"/>
      <c r="E109" s="44"/>
      <c r="F109" s="95"/>
      <c r="G109" s="383" t="s">
        <v>344</v>
      </c>
      <c r="H109" s="384"/>
      <c r="I109" s="38">
        <f>I96</f>
        <v>119437.99999999999</v>
      </c>
      <c r="J109" s="234"/>
    </row>
    <row r="110" spans="1:10" ht="19.5" customHeight="1">
      <c r="A110" s="90">
        <v>8</v>
      </c>
      <c r="B110" s="90" t="s">
        <v>415</v>
      </c>
      <c r="C110" s="335" t="s">
        <v>390</v>
      </c>
      <c r="D110" s="335"/>
      <c r="E110" s="94"/>
      <c r="F110" s="95"/>
      <c r="G110" s="38"/>
      <c r="H110" s="46"/>
      <c r="I110" s="88">
        <f>SUM(I111:I120)</f>
        <v>102783.45454545453</v>
      </c>
      <c r="J110" s="234"/>
    </row>
    <row r="111" spans="1:10" ht="19.5" customHeight="1">
      <c r="A111" s="89"/>
      <c r="B111" s="89">
        <v>1</v>
      </c>
      <c r="C111" s="83" t="s">
        <v>123</v>
      </c>
      <c r="D111" s="41" t="s">
        <v>16</v>
      </c>
      <c r="E111" s="41">
        <v>0.1</v>
      </c>
      <c r="F111" s="12">
        <v>0.2</v>
      </c>
      <c r="G111" s="38">
        <f>H111/(J111*$J$38)</f>
        <v>52690.909090909088</v>
      </c>
      <c r="H111" s="233">
        <f>VLOOKUP(C111,[1]TB!$B$3:$E$503,4,0)</f>
        <v>131727272.72727272</v>
      </c>
      <c r="I111" s="38">
        <f>G111*F111</f>
        <v>10538.181818181818</v>
      </c>
      <c r="J111" s="234">
        <f>VLOOKUP(C111,[1]TB!$B$3:$F$205,5,0)</f>
        <v>5</v>
      </c>
    </row>
    <row r="112" spans="1:10" ht="19.5" customHeight="1">
      <c r="A112" s="89"/>
      <c r="B112" s="89">
        <v>2</v>
      </c>
      <c r="C112" s="223" t="s">
        <v>228</v>
      </c>
      <c r="D112" s="81" t="s">
        <v>22</v>
      </c>
      <c r="E112" s="41">
        <v>0.3</v>
      </c>
      <c r="F112" s="82">
        <v>0.25</v>
      </c>
      <c r="G112" s="38">
        <f t="shared" ref="G112" si="25">H112/(J112*$J$38)</f>
        <v>29090.909090909088</v>
      </c>
      <c r="H112" s="233">
        <f>VLOOKUP(C112,[1]TB!$B$3:$E$503,4,0)</f>
        <v>72727272.727272719</v>
      </c>
      <c r="I112" s="38">
        <f t="shared" ref="I112" si="26">G112*F112</f>
        <v>7272.7272727272721</v>
      </c>
      <c r="J112" s="234">
        <f>VLOOKUP(C112,[1]TB!$B$3:$F$205,5,0)</f>
        <v>5</v>
      </c>
    </row>
    <row r="113" spans="1:10" ht="19.5" customHeight="1">
      <c r="A113" s="89"/>
      <c r="B113" s="89">
        <v>3</v>
      </c>
      <c r="C113" s="83" t="s">
        <v>121</v>
      </c>
      <c r="D113" s="41" t="s">
        <v>16</v>
      </c>
      <c r="E113" s="41">
        <v>0.3</v>
      </c>
      <c r="F113" s="82">
        <v>0.4</v>
      </c>
      <c r="G113" s="38">
        <f t="shared" ref="G113:G120" si="27">H113/(J113*$J$38)</f>
        <v>5643.6363636363631</v>
      </c>
      <c r="H113" s="233">
        <f>VLOOKUP(C113,[1]TB!$B$3:$E$503,4,0)</f>
        <v>28218181.818181816</v>
      </c>
      <c r="I113" s="38">
        <f t="shared" ref="I113:I120" si="28">G113*F113</f>
        <v>2257.4545454545455</v>
      </c>
      <c r="J113" s="234">
        <f>VLOOKUP(C113,[1]TB!$B$3:$F$205,5,0)</f>
        <v>10</v>
      </c>
    </row>
    <row r="114" spans="1:10" ht="19.5" customHeight="1">
      <c r="A114" s="89"/>
      <c r="B114" s="89">
        <v>4</v>
      </c>
      <c r="C114" s="83" t="s">
        <v>359</v>
      </c>
      <c r="D114" s="41" t="s">
        <v>16</v>
      </c>
      <c r="E114" s="41">
        <v>0.16</v>
      </c>
      <c r="F114" s="97">
        <v>0.2</v>
      </c>
      <c r="G114" s="38">
        <f t="shared" si="27"/>
        <v>13363.636363636364</v>
      </c>
      <c r="H114" s="233">
        <f>VLOOKUP(C114,[1]TB!$B$3:$E$503,4,0)</f>
        <v>53454545.454545453</v>
      </c>
      <c r="I114" s="38">
        <f t="shared" si="28"/>
        <v>2672.727272727273</v>
      </c>
      <c r="J114" s="234">
        <f>VLOOKUP(C114,[1]TB!$B$3:$F$205,5,0)</f>
        <v>8</v>
      </c>
    </row>
    <row r="115" spans="1:10" ht="19.5" customHeight="1">
      <c r="A115" s="89"/>
      <c r="B115" s="89">
        <v>5</v>
      </c>
      <c r="C115" s="83" t="s">
        <v>129</v>
      </c>
      <c r="D115" s="41" t="s">
        <v>16</v>
      </c>
      <c r="E115" s="41">
        <v>0.16</v>
      </c>
      <c r="F115" s="100">
        <v>0.2</v>
      </c>
      <c r="G115" s="38">
        <f t="shared" si="27"/>
        <v>21381.81818181818</v>
      </c>
      <c r="H115" s="233">
        <f>VLOOKUP(C115,[1]TB!$B$3:$E$503,4,0)</f>
        <v>53454545.454545453</v>
      </c>
      <c r="I115" s="38">
        <f t="shared" si="28"/>
        <v>4276.363636363636</v>
      </c>
      <c r="J115" s="234">
        <f>VLOOKUP(C115,[1]TB!$B$3:$F$205,5,0)</f>
        <v>5</v>
      </c>
    </row>
    <row r="116" spans="1:10" ht="19.5" customHeight="1">
      <c r="A116" s="89"/>
      <c r="B116" s="89">
        <v>6</v>
      </c>
      <c r="C116" s="83" t="s">
        <v>126</v>
      </c>
      <c r="D116" s="41" t="s">
        <v>22</v>
      </c>
      <c r="E116" s="41">
        <v>2.2999999999999998</v>
      </c>
      <c r="F116" s="12">
        <v>0.2</v>
      </c>
      <c r="G116" s="38">
        <f t="shared" si="27"/>
        <v>10309.090909090908</v>
      </c>
      <c r="H116" s="233">
        <f>VLOOKUP(C116,[1]TB!$B$3:$E$503,4,0)</f>
        <v>25772727.27272727</v>
      </c>
      <c r="I116" s="38">
        <f t="shared" si="28"/>
        <v>2061.8181818181815</v>
      </c>
      <c r="J116" s="234">
        <f>VLOOKUP(C116,[1]TB!$B$3:$F$205,5,0)</f>
        <v>5</v>
      </c>
    </row>
    <row r="117" spans="1:10" ht="19.5" customHeight="1">
      <c r="A117" s="89"/>
      <c r="B117" s="89">
        <v>7</v>
      </c>
      <c r="C117" s="83" t="s">
        <v>348</v>
      </c>
      <c r="D117" s="81" t="s">
        <v>16</v>
      </c>
      <c r="E117" s="41">
        <v>0.06</v>
      </c>
      <c r="F117" s="82">
        <v>0.2</v>
      </c>
      <c r="G117" s="38">
        <f t="shared" si="27"/>
        <v>6818.1818181818171</v>
      </c>
      <c r="H117" s="233">
        <f>VLOOKUP(C117,[1]TB!$B$3:$E$503,4,0)</f>
        <v>27272727.27272727</v>
      </c>
      <c r="I117" s="38">
        <f t="shared" si="28"/>
        <v>1363.6363636363635</v>
      </c>
      <c r="J117" s="234">
        <f>VLOOKUP(C117,[1]TB!$B$3:$F$205,5,0)</f>
        <v>8</v>
      </c>
    </row>
    <row r="118" spans="1:10" ht="19.5" customHeight="1">
      <c r="A118" s="89"/>
      <c r="B118" s="89">
        <v>8</v>
      </c>
      <c r="C118" s="83" t="s">
        <v>127</v>
      </c>
      <c r="D118" s="41" t="s">
        <v>22</v>
      </c>
      <c r="E118" s="41">
        <v>3</v>
      </c>
      <c r="F118" s="12">
        <v>0.3</v>
      </c>
      <c r="G118" s="38">
        <f t="shared" si="27"/>
        <v>192363.63636363635</v>
      </c>
      <c r="H118" s="233">
        <f>VLOOKUP(C118,[1]TB!$B$3:$E$503,4,0)</f>
        <v>961818181.81818175</v>
      </c>
      <c r="I118" s="38">
        <f t="shared" si="28"/>
        <v>57709.090909090904</v>
      </c>
      <c r="J118" s="234">
        <f>VLOOKUP(C118,[1]TB!$B$3:$F$205,5,0)</f>
        <v>10</v>
      </c>
    </row>
    <row r="119" spans="1:10" ht="19.5" customHeight="1">
      <c r="A119" s="89"/>
      <c r="B119" s="89">
        <v>9</v>
      </c>
      <c r="C119" s="83" t="s">
        <v>363</v>
      </c>
      <c r="D119" s="41" t="s">
        <v>22</v>
      </c>
      <c r="E119" s="41">
        <v>0.18</v>
      </c>
      <c r="F119" s="97">
        <v>0.4</v>
      </c>
      <c r="G119" s="38">
        <f t="shared" si="27"/>
        <v>36000</v>
      </c>
      <c r="H119" s="233">
        <f>VLOOKUP(C119,[1]TB!$B$3:$E$503,4,0)</f>
        <v>90000000</v>
      </c>
      <c r="I119" s="38">
        <f t="shared" si="28"/>
        <v>14400</v>
      </c>
      <c r="J119" s="234">
        <f>VLOOKUP(C119,[1]TB!$B$3:$F$205,5,0)</f>
        <v>5</v>
      </c>
    </row>
    <row r="120" spans="1:10" ht="19.5" customHeight="1">
      <c r="A120" s="89"/>
      <c r="B120" s="89">
        <v>10</v>
      </c>
      <c r="C120" s="83" t="s">
        <v>122</v>
      </c>
      <c r="D120" s="41" t="s">
        <v>16</v>
      </c>
      <c r="E120" s="82">
        <v>2.2000000000000002</v>
      </c>
      <c r="F120" s="82">
        <v>6.7000000000000004E-2</v>
      </c>
      <c r="G120" s="38">
        <f t="shared" si="27"/>
        <v>3454.545454545454</v>
      </c>
      <c r="H120" s="233">
        <f>VLOOKUP(C120,[1]TB!$B$3:$E$503,4,0)</f>
        <v>8636363.6363636348</v>
      </c>
      <c r="I120" s="38">
        <f t="shared" si="28"/>
        <v>231.45454545454544</v>
      </c>
      <c r="J120" s="234">
        <f>VLOOKUP(C120,[1]TB!$B$3:$F$205,5,0)</f>
        <v>5</v>
      </c>
    </row>
    <row r="121" spans="1:10" ht="19.5" customHeight="1">
      <c r="A121" s="89"/>
      <c r="B121" s="89">
        <v>11</v>
      </c>
      <c r="C121" s="83" t="s">
        <v>35</v>
      </c>
      <c r="D121" s="41" t="s">
        <v>36</v>
      </c>
      <c r="E121" s="41"/>
      <c r="F121" s="100">
        <v>18.86</v>
      </c>
      <c r="G121" s="38"/>
      <c r="H121" s="233">
        <f>VLOOKUP(C121,[1]TB!$B$3:$E$503,4,0)</f>
        <v>1670.9090909090908</v>
      </c>
      <c r="I121" s="38">
        <f>H121*F121</f>
        <v>31513.345454545452</v>
      </c>
      <c r="J121" s="234">
        <f>VLOOKUP(C121,[1]TB!$B$3:$F$205,5,0)</f>
        <v>0</v>
      </c>
    </row>
    <row r="122" spans="1:10" ht="19.5" customHeight="1">
      <c r="A122" s="89"/>
      <c r="B122" s="250" t="s">
        <v>416</v>
      </c>
      <c r="C122" s="249" t="s">
        <v>397</v>
      </c>
      <c r="D122" s="374" t="s">
        <v>429</v>
      </c>
      <c r="E122" s="375"/>
      <c r="F122" s="376"/>
      <c r="G122" s="92"/>
      <c r="H122" s="233"/>
      <c r="I122" s="92">
        <f>I110</f>
        <v>102783.45454545453</v>
      </c>
      <c r="J122" s="234"/>
    </row>
    <row r="123" spans="1:10" ht="19.5" customHeight="1">
      <c r="A123" s="89"/>
      <c r="B123" s="250" t="s">
        <v>417</v>
      </c>
      <c r="C123" s="249" t="s">
        <v>398</v>
      </c>
      <c r="D123" s="374" t="s">
        <v>429</v>
      </c>
      <c r="E123" s="375"/>
      <c r="F123" s="376"/>
      <c r="G123" s="92"/>
      <c r="H123" s="233"/>
      <c r="I123" s="92">
        <f t="shared" ref="I123:I132" si="29">I122</f>
        <v>102783.45454545453</v>
      </c>
      <c r="J123" s="234"/>
    </row>
    <row r="124" spans="1:10" ht="19.5" customHeight="1">
      <c r="A124" s="89"/>
      <c r="B124" s="250" t="s">
        <v>418</v>
      </c>
      <c r="C124" s="249" t="s">
        <v>405</v>
      </c>
      <c r="D124" s="374" t="s">
        <v>429</v>
      </c>
      <c r="E124" s="375"/>
      <c r="F124" s="376"/>
      <c r="G124" s="92"/>
      <c r="H124" s="233"/>
      <c r="I124" s="92">
        <f t="shared" si="29"/>
        <v>102783.45454545453</v>
      </c>
      <c r="J124" s="234"/>
    </row>
    <row r="125" spans="1:10" ht="19.5" customHeight="1">
      <c r="A125" s="89"/>
      <c r="B125" s="250" t="s">
        <v>419</v>
      </c>
      <c r="C125" s="249" t="s">
        <v>399</v>
      </c>
      <c r="D125" s="374" t="s">
        <v>429</v>
      </c>
      <c r="E125" s="375"/>
      <c r="F125" s="376"/>
      <c r="G125" s="92"/>
      <c r="H125" s="233"/>
      <c r="I125" s="92">
        <f t="shared" si="29"/>
        <v>102783.45454545453</v>
      </c>
      <c r="J125" s="234"/>
    </row>
    <row r="126" spans="1:10" ht="19.5" customHeight="1">
      <c r="A126" s="89"/>
      <c r="B126" s="250" t="s">
        <v>420</v>
      </c>
      <c r="C126" s="249" t="s">
        <v>401</v>
      </c>
      <c r="D126" s="374" t="s">
        <v>429</v>
      </c>
      <c r="E126" s="375"/>
      <c r="F126" s="376"/>
      <c r="G126" s="92"/>
      <c r="H126" s="233"/>
      <c r="I126" s="92">
        <f t="shared" si="29"/>
        <v>102783.45454545453</v>
      </c>
      <c r="J126" s="234"/>
    </row>
    <row r="127" spans="1:10" ht="19.5" customHeight="1">
      <c r="A127" s="89"/>
      <c r="B127" s="250" t="s">
        <v>421</v>
      </c>
      <c r="C127" s="249" t="s">
        <v>400</v>
      </c>
      <c r="D127" s="374" t="s">
        <v>429</v>
      </c>
      <c r="E127" s="375"/>
      <c r="F127" s="376"/>
      <c r="G127" s="92"/>
      <c r="H127" s="233"/>
      <c r="I127" s="92">
        <f t="shared" si="29"/>
        <v>102783.45454545453</v>
      </c>
      <c r="J127" s="234"/>
    </row>
    <row r="128" spans="1:10" ht="19.5" customHeight="1">
      <c r="A128" s="89"/>
      <c r="B128" s="250" t="s">
        <v>422</v>
      </c>
      <c r="C128" s="249" t="s">
        <v>402</v>
      </c>
      <c r="D128" s="374" t="s">
        <v>429</v>
      </c>
      <c r="E128" s="375"/>
      <c r="F128" s="376"/>
      <c r="G128" s="92"/>
      <c r="H128" s="233"/>
      <c r="I128" s="92">
        <f t="shared" si="29"/>
        <v>102783.45454545453</v>
      </c>
      <c r="J128" s="234"/>
    </row>
    <row r="129" spans="1:10" ht="19.5" customHeight="1">
      <c r="A129" s="89"/>
      <c r="B129" s="250" t="s">
        <v>423</v>
      </c>
      <c r="C129" s="249" t="s">
        <v>403</v>
      </c>
      <c r="D129" s="374" t="s">
        <v>429</v>
      </c>
      <c r="E129" s="375"/>
      <c r="F129" s="376"/>
      <c r="G129" s="92"/>
      <c r="H129" s="233"/>
      <c r="I129" s="92">
        <f t="shared" si="29"/>
        <v>102783.45454545453</v>
      </c>
      <c r="J129" s="234"/>
    </row>
    <row r="130" spans="1:10" ht="19.5" customHeight="1">
      <c r="A130" s="89"/>
      <c r="B130" s="250" t="s">
        <v>424</v>
      </c>
      <c r="C130" s="249" t="s">
        <v>404</v>
      </c>
      <c r="D130" s="374" t="s">
        <v>429</v>
      </c>
      <c r="E130" s="375"/>
      <c r="F130" s="376"/>
      <c r="G130" s="92"/>
      <c r="H130" s="233"/>
      <c r="I130" s="92">
        <f t="shared" si="29"/>
        <v>102783.45454545453</v>
      </c>
      <c r="J130" s="234"/>
    </row>
    <row r="131" spans="1:10" ht="19.5" customHeight="1">
      <c r="A131" s="89"/>
      <c r="B131" s="250" t="s">
        <v>425</v>
      </c>
      <c r="C131" s="249" t="s">
        <v>406</v>
      </c>
      <c r="D131" s="374" t="s">
        <v>429</v>
      </c>
      <c r="E131" s="375"/>
      <c r="F131" s="376"/>
      <c r="G131" s="92"/>
      <c r="H131" s="233"/>
      <c r="I131" s="92">
        <f t="shared" si="29"/>
        <v>102783.45454545453</v>
      </c>
      <c r="J131" s="234"/>
    </row>
    <row r="132" spans="1:10" ht="19.5" customHeight="1">
      <c r="A132" s="89"/>
      <c r="B132" s="250" t="s">
        <v>432</v>
      </c>
      <c r="C132" s="249" t="s">
        <v>433</v>
      </c>
      <c r="D132" s="374" t="s">
        <v>429</v>
      </c>
      <c r="E132" s="375"/>
      <c r="F132" s="376"/>
      <c r="G132" s="92"/>
      <c r="H132" s="233"/>
      <c r="I132" s="92">
        <f t="shared" si="29"/>
        <v>102783.45454545453</v>
      </c>
      <c r="J132" s="234"/>
    </row>
    <row r="133" spans="1:10" ht="19.5" customHeight="1">
      <c r="A133" s="90">
        <v>9</v>
      </c>
      <c r="B133" s="90" t="s">
        <v>217</v>
      </c>
      <c r="C133" s="224" t="s">
        <v>4</v>
      </c>
      <c r="D133" s="44"/>
      <c r="E133" s="44"/>
      <c r="F133" s="95"/>
      <c r="G133" s="38"/>
      <c r="H133" s="233"/>
      <c r="I133" s="88">
        <f>SUM(I134:I140)</f>
        <v>32474.363636363636</v>
      </c>
      <c r="J133" s="234"/>
    </row>
    <row r="134" spans="1:10" ht="19.5" customHeight="1">
      <c r="A134" s="89"/>
      <c r="B134" s="89">
        <v>1</v>
      </c>
      <c r="C134" s="83" t="s">
        <v>121</v>
      </c>
      <c r="D134" s="41" t="s">
        <v>16</v>
      </c>
      <c r="E134" s="41">
        <v>0.3</v>
      </c>
      <c r="F134" s="82">
        <v>0.4</v>
      </c>
      <c r="G134" s="38">
        <f t="shared" si="9"/>
        <v>5643.6363636363631</v>
      </c>
      <c r="H134" s="233">
        <f>VLOOKUP(C134,[1]TB!$B$3:$E$503,4,0)</f>
        <v>28218181.818181816</v>
      </c>
      <c r="I134" s="38">
        <f t="shared" ref="I134:I140" si="30">G134*F134</f>
        <v>2257.4545454545455</v>
      </c>
      <c r="J134" s="234">
        <f>VLOOKUP(C134,[1]TB!$B$3:$F$205,5,0)</f>
        <v>10</v>
      </c>
    </row>
    <row r="135" spans="1:10" ht="19.5" customHeight="1">
      <c r="A135" s="89"/>
      <c r="B135" s="89">
        <v>2</v>
      </c>
      <c r="C135" s="223" t="s">
        <v>228</v>
      </c>
      <c r="D135" s="81" t="s">
        <v>22</v>
      </c>
      <c r="E135" s="41">
        <v>0.3</v>
      </c>
      <c r="F135" s="82">
        <v>0.25</v>
      </c>
      <c r="G135" s="38">
        <f t="shared" ref="G135" si="31">H135/(J135*$J$38)</f>
        <v>29090.909090909088</v>
      </c>
      <c r="H135" s="233">
        <f>VLOOKUP(C135,[1]TB!$B$3:$E$503,4,0)</f>
        <v>72727272.727272719</v>
      </c>
      <c r="I135" s="38">
        <f t="shared" ref="I135" si="32">G135*F135</f>
        <v>7272.7272727272721</v>
      </c>
      <c r="J135" s="234">
        <f>VLOOKUP(C135,[1]TB!$B$3:$F$205,5,0)</f>
        <v>5</v>
      </c>
    </row>
    <row r="136" spans="1:10" ht="19.5" customHeight="1">
      <c r="A136" s="89"/>
      <c r="B136" s="89">
        <v>3</v>
      </c>
      <c r="C136" s="83" t="s">
        <v>359</v>
      </c>
      <c r="D136" s="41" t="s">
        <v>16</v>
      </c>
      <c r="E136" s="41">
        <v>0.16</v>
      </c>
      <c r="F136" s="97">
        <v>0.2</v>
      </c>
      <c r="G136" s="38">
        <f t="shared" si="9"/>
        <v>13363.636363636364</v>
      </c>
      <c r="H136" s="233">
        <f>VLOOKUP(C136,[1]TB!$B$3:$E$503,4,0)</f>
        <v>53454545.454545453</v>
      </c>
      <c r="I136" s="38">
        <f t="shared" si="30"/>
        <v>2672.727272727273</v>
      </c>
      <c r="J136" s="234">
        <f>VLOOKUP(C136,[1]TB!$B$3:$F$205,5,0)</f>
        <v>8</v>
      </c>
    </row>
    <row r="137" spans="1:10" ht="19.5" customHeight="1">
      <c r="A137" s="89"/>
      <c r="B137" s="89">
        <v>4</v>
      </c>
      <c r="C137" s="83" t="s">
        <v>129</v>
      </c>
      <c r="D137" s="41" t="s">
        <v>16</v>
      </c>
      <c r="E137" s="41">
        <v>0.16</v>
      </c>
      <c r="F137" s="100">
        <v>0.2</v>
      </c>
      <c r="G137" s="38">
        <f t="shared" si="9"/>
        <v>21381.81818181818</v>
      </c>
      <c r="H137" s="233">
        <f>VLOOKUP(C137,[1]TB!$B$3:$E$503,4,0)</f>
        <v>53454545.454545453</v>
      </c>
      <c r="I137" s="38">
        <f t="shared" si="30"/>
        <v>4276.363636363636</v>
      </c>
      <c r="J137" s="234">
        <f>VLOOKUP(C137,[1]TB!$B$3:$F$205,5,0)</f>
        <v>5</v>
      </c>
    </row>
    <row r="138" spans="1:10" ht="19.5" customHeight="1">
      <c r="A138" s="89"/>
      <c r="B138" s="89">
        <v>5</v>
      </c>
      <c r="C138" s="83" t="s">
        <v>348</v>
      </c>
      <c r="D138" s="81" t="s">
        <v>16</v>
      </c>
      <c r="E138" s="41">
        <v>0.06</v>
      </c>
      <c r="F138" s="82">
        <v>0.2</v>
      </c>
      <c r="G138" s="38">
        <f t="shared" si="9"/>
        <v>6818.1818181818171</v>
      </c>
      <c r="H138" s="233">
        <f>VLOOKUP(C138,[1]TB!$B$3:$E$503,4,0)</f>
        <v>27272727.27272727</v>
      </c>
      <c r="I138" s="38">
        <f t="shared" si="30"/>
        <v>1363.6363636363635</v>
      </c>
      <c r="J138" s="234">
        <f>VLOOKUP(C138,[1]TB!$B$3:$F$205,5,0)</f>
        <v>8</v>
      </c>
    </row>
    <row r="139" spans="1:10" ht="19.5" customHeight="1">
      <c r="A139" s="89"/>
      <c r="B139" s="89">
        <v>6</v>
      </c>
      <c r="C139" s="83" t="s">
        <v>363</v>
      </c>
      <c r="D139" s="41" t="s">
        <v>22</v>
      </c>
      <c r="E139" s="41">
        <v>0.18</v>
      </c>
      <c r="F139" s="97">
        <v>0.4</v>
      </c>
      <c r="G139" s="38">
        <f t="shared" si="9"/>
        <v>36000</v>
      </c>
      <c r="H139" s="233">
        <f>VLOOKUP(C139,[1]TB!$B$3:$E$503,4,0)</f>
        <v>90000000</v>
      </c>
      <c r="I139" s="38">
        <f t="shared" si="30"/>
        <v>14400</v>
      </c>
      <c r="J139" s="234">
        <f>VLOOKUP(C139,[1]TB!$B$3:$F$205,5,0)</f>
        <v>5</v>
      </c>
    </row>
    <row r="140" spans="1:10" ht="19.5" customHeight="1">
      <c r="A140" s="89"/>
      <c r="B140" s="89">
        <v>7</v>
      </c>
      <c r="C140" s="83" t="s">
        <v>122</v>
      </c>
      <c r="D140" s="41" t="s">
        <v>16</v>
      </c>
      <c r="E140" s="82">
        <v>2.2000000000000002</v>
      </c>
      <c r="F140" s="82">
        <v>6.7000000000000004E-2</v>
      </c>
      <c r="G140" s="38">
        <f t="shared" si="9"/>
        <v>3454.545454545454</v>
      </c>
      <c r="H140" s="233">
        <f>VLOOKUP(C140,[1]TB!$B$3:$E$503,4,0)</f>
        <v>8636363.6363636348</v>
      </c>
      <c r="I140" s="38">
        <f t="shared" si="30"/>
        <v>231.45454545454544</v>
      </c>
      <c r="J140" s="234">
        <f>VLOOKUP(C140,[1]TB!$B$3:$F$205,5,0)</f>
        <v>5</v>
      </c>
    </row>
    <row r="141" spans="1:10" ht="19.5" customHeight="1">
      <c r="A141" s="89"/>
      <c r="B141" s="89">
        <v>8</v>
      </c>
      <c r="C141" s="83" t="s">
        <v>35</v>
      </c>
      <c r="D141" s="41" t="s">
        <v>36</v>
      </c>
      <c r="E141" s="41"/>
      <c r="F141" s="100">
        <v>27.25</v>
      </c>
      <c r="G141" s="38"/>
      <c r="H141" s="233">
        <f>VLOOKUP(C141,[1]TB!$B$3:$E$503,4,0)</f>
        <v>1670.9090909090908</v>
      </c>
      <c r="I141" s="38">
        <f>H141*F141</f>
        <v>45532.272727272721</v>
      </c>
      <c r="J141" s="234">
        <f>VLOOKUP(C141,[1]TB!$B$3:$F$205,5,0)</f>
        <v>0</v>
      </c>
    </row>
    <row r="142" spans="1:10" ht="19.5" customHeight="1">
      <c r="A142" s="90">
        <v>10</v>
      </c>
      <c r="B142" s="90" t="s">
        <v>320</v>
      </c>
      <c r="C142" s="382" t="s">
        <v>6</v>
      </c>
      <c r="D142" s="382"/>
      <c r="E142" s="382"/>
      <c r="F142" s="382"/>
      <c r="G142" s="38"/>
      <c r="H142" s="233"/>
      <c r="I142" s="88">
        <f>SUM(I143:I150)</f>
        <v>36138</v>
      </c>
      <c r="J142" s="234"/>
    </row>
    <row r="143" spans="1:10" ht="19.5" customHeight="1">
      <c r="A143" s="89"/>
      <c r="B143" s="89">
        <v>1</v>
      </c>
      <c r="C143" s="40" t="s">
        <v>121</v>
      </c>
      <c r="D143" s="41" t="s">
        <v>50</v>
      </c>
      <c r="E143" s="41">
        <v>0.3</v>
      </c>
      <c r="F143" s="82">
        <v>0.4</v>
      </c>
      <c r="G143" s="38">
        <f t="shared" ref="G143:G150" si="33">H143/(J143*$J$38)</f>
        <v>5643.6363636363631</v>
      </c>
      <c r="H143" s="233">
        <f>VLOOKUP(C143,[1]TB!$B$3:$E$503,4,0)</f>
        <v>28218181.818181816</v>
      </c>
      <c r="I143" s="38">
        <f t="shared" ref="I143:I150" si="34">G143*F143</f>
        <v>2257.4545454545455</v>
      </c>
      <c r="J143" s="234">
        <f>VLOOKUP(C143,[1]TB!$B$3:$F$205,5,0)</f>
        <v>10</v>
      </c>
    </row>
    <row r="144" spans="1:10" ht="19.5" customHeight="1">
      <c r="A144" s="89"/>
      <c r="B144" s="89">
        <v>2</v>
      </c>
      <c r="C144" s="223" t="s">
        <v>228</v>
      </c>
      <c r="D144" s="81" t="s">
        <v>22</v>
      </c>
      <c r="E144" s="41">
        <v>0.3</v>
      </c>
      <c r="F144" s="82">
        <v>0.25</v>
      </c>
      <c r="G144" s="38">
        <f t="shared" si="33"/>
        <v>29090.909090909088</v>
      </c>
      <c r="H144" s="233">
        <f>VLOOKUP(C144,[1]TB!$B$3:$E$503,4,0)</f>
        <v>72727272.727272719</v>
      </c>
      <c r="I144" s="38">
        <f t="shared" si="34"/>
        <v>7272.7272727272721</v>
      </c>
      <c r="J144" s="234">
        <f>VLOOKUP(C144,[1]TB!$B$3:$F$205,5,0)</f>
        <v>5</v>
      </c>
    </row>
    <row r="145" spans="1:10" ht="19.5" customHeight="1">
      <c r="A145" s="89"/>
      <c r="B145" s="89">
        <v>3</v>
      </c>
      <c r="C145" s="83" t="s">
        <v>359</v>
      </c>
      <c r="D145" s="41" t="s">
        <v>16</v>
      </c>
      <c r="E145" s="41">
        <v>0.16</v>
      </c>
      <c r="F145" s="97">
        <v>0.2</v>
      </c>
      <c r="G145" s="38">
        <f t="shared" si="33"/>
        <v>13363.636363636364</v>
      </c>
      <c r="H145" s="233">
        <f>VLOOKUP(C145,[1]TB!$B$3:$E$503,4,0)</f>
        <v>53454545.454545453</v>
      </c>
      <c r="I145" s="38">
        <f t="shared" si="34"/>
        <v>2672.727272727273</v>
      </c>
      <c r="J145" s="234">
        <f>VLOOKUP(C145,[1]TB!$B$3:$F$205,5,0)</f>
        <v>8</v>
      </c>
    </row>
    <row r="146" spans="1:10" ht="19.5" customHeight="1">
      <c r="A146" s="89"/>
      <c r="B146" s="89">
        <v>4</v>
      </c>
      <c r="C146" s="83" t="s">
        <v>129</v>
      </c>
      <c r="D146" s="41" t="s">
        <v>16</v>
      </c>
      <c r="E146" s="41">
        <v>0.16</v>
      </c>
      <c r="F146" s="100">
        <v>0.2</v>
      </c>
      <c r="G146" s="38">
        <f t="shared" si="33"/>
        <v>21381.81818181818</v>
      </c>
      <c r="H146" s="233">
        <f>VLOOKUP(C146,[1]TB!$B$3:$E$503,4,0)</f>
        <v>53454545.454545453</v>
      </c>
      <c r="I146" s="38">
        <f t="shared" si="34"/>
        <v>4276.363636363636</v>
      </c>
      <c r="J146" s="234">
        <f>VLOOKUP(C146,[1]TB!$B$3:$F$205,5,0)</f>
        <v>5</v>
      </c>
    </row>
    <row r="147" spans="1:10" ht="19.5" customHeight="1">
      <c r="A147" s="89"/>
      <c r="B147" s="89">
        <v>5</v>
      </c>
      <c r="C147" s="83" t="s">
        <v>348</v>
      </c>
      <c r="D147" s="81" t="s">
        <v>16</v>
      </c>
      <c r="E147" s="41">
        <v>0.06</v>
      </c>
      <c r="F147" s="82">
        <v>0.2</v>
      </c>
      <c r="G147" s="38">
        <f t="shared" si="33"/>
        <v>6818.1818181818171</v>
      </c>
      <c r="H147" s="233">
        <f>VLOOKUP(C147,[1]TB!$B$3:$E$503,4,0)</f>
        <v>27272727.27272727</v>
      </c>
      <c r="I147" s="38">
        <f t="shared" si="34"/>
        <v>1363.6363636363635</v>
      </c>
      <c r="J147" s="234">
        <f>VLOOKUP(C147,[1]TB!$B$3:$F$205,5,0)</f>
        <v>8</v>
      </c>
    </row>
    <row r="148" spans="1:10" ht="19.5" customHeight="1">
      <c r="A148" s="89"/>
      <c r="B148" s="89">
        <v>6</v>
      </c>
      <c r="C148" s="83" t="s">
        <v>124</v>
      </c>
      <c r="D148" s="41" t="s">
        <v>22</v>
      </c>
      <c r="E148" s="41">
        <v>0.55000000000000004</v>
      </c>
      <c r="F148" s="97">
        <v>0.2</v>
      </c>
      <c r="G148" s="38">
        <f t="shared" si="33"/>
        <v>18318.181818181816</v>
      </c>
      <c r="H148" s="233">
        <f>VLOOKUP(C148,[1]TB!$B$3:$E$503,4,0)</f>
        <v>91590909.090909079</v>
      </c>
      <c r="I148" s="38">
        <f t="shared" si="34"/>
        <v>3663.6363636363635</v>
      </c>
      <c r="J148" s="234">
        <f>VLOOKUP(C148,[1]TB!$B$3:$F$205,5,0)</f>
        <v>10</v>
      </c>
    </row>
    <row r="149" spans="1:10" ht="19.5" customHeight="1">
      <c r="A149" s="89"/>
      <c r="B149" s="89">
        <v>7</v>
      </c>
      <c r="C149" s="83" t="s">
        <v>363</v>
      </c>
      <c r="D149" s="41" t="s">
        <v>22</v>
      </c>
      <c r="E149" s="41">
        <v>0.18</v>
      </c>
      <c r="F149" s="97">
        <v>0.4</v>
      </c>
      <c r="G149" s="38">
        <f t="shared" si="33"/>
        <v>36000</v>
      </c>
      <c r="H149" s="233">
        <f>VLOOKUP(C149,[1]TB!$B$3:$E$503,4,0)</f>
        <v>90000000</v>
      </c>
      <c r="I149" s="38">
        <f t="shared" si="34"/>
        <v>14400</v>
      </c>
      <c r="J149" s="234">
        <f>VLOOKUP(C149,[1]TB!$B$3:$F$205,5,0)</f>
        <v>5</v>
      </c>
    </row>
    <row r="150" spans="1:10" ht="19.5" customHeight="1">
      <c r="A150" s="89"/>
      <c r="B150" s="89">
        <v>8</v>
      </c>
      <c r="C150" s="40" t="s">
        <v>122</v>
      </c>
      <c r="D150" s="41" t="s">
        <v>50</v>
      </c>
      <c r="E150" s="82">
        <v>2.2000000000000002</v>
      </c>
      <c r="F150" s="82">
        <v>6.7000000000000004E-2</v>
      </c>
      <c r="G150" s="38">
        <f t="shared" si="33"/>
        <v>3454.545454545454</v>
      </c>
      <c r="H150" s="233">
        <f>VLOOKUP(C150,[1]TB!$B$3:$E$503,4,0)</f>
        <v>8636363.6363636348</v>
      </c>
      <c r="I150" s="38">
        <f t="shared" si="34"/>
        <v>231.45454545454544</v>
      </c>
      <c r="J150" s="234">
        <f>VLOOKUP(C150,[1]TB!$B$3:$F$205,5,0)</f>
        <v>5</v>
      </c>
    </row>
    <row r="151" spans="1:10" ht="19.5" customHeight="1">
      <c r="A151" s="89"/>
      <c r="B151" s="89">
        <v>9</v>
      </c>
      <c r="C151" s="40" t="s">
        <v>35</v>
      </c>
      <c r="D151" s="41" t="s">
        <v>65</v>
      </c>
      <c r="E151" s="41"/>
      <c r="F151" s="42">
        <v>15.1</v>
      </c>
      <c r="G151" s="38"/>
      <c r="H151" s="233">
        <f>VLOOKUP(C151,[1]TB!$B$3:$E$503,4,0)</f>
        <v>1670.9090909090908</v>
      </c>
      <c r="I151" s="38">
        <f>H151*F151</f>
        <v>25230.727272727268</v>
      </c>
      <c r="J151" s="234">
        <f>VLOOKUP(C151,[1]TB!$B$3:$F$205,5,0)</f>
        <v>0</v>
      </c>
    </row>
    <row r="152" spans="1:10" ht="19.5" customHeight="1">
      <c r="A152" s="90">
        <v>11</v>
      </c>
      <c r="B152" s="90" t="s">
        <v>326</v>
      </c>
      <c r="C152" s="224" t="s">
        <v>215</v>
      </c>
      <c r="D152" s="44"/>
      <c r="E152" s="44"/>
      <c r="F152" s="101"/>
      <c r="G152" s="38"/>
      <c r="H152" s="46"/>
      <c r="I152" s="88">
        <f>SUM(I153:I165)</f>
        <v>118822.94545454544</v>
      </c>
      <c r="J152" s="234"/>
    </row>
    <row r="153" spans="1:10" ht="19.5" customHeight="1">
      <c r="A153" s="89"/>
      <c r="B153" s="89">
        <v>1</v>
      </c>
      <c r="C153" s="83" t="s">
        <v>121</v>
      </c>
      <c r="D153" s="41" t="s">
        <v>50</v>
      </c>
      <c r="E153" s="41">
        <v>0.3</v>
      </c>
      <c r="F153" s="82">
        <v>0.4</v>
      </c>
      <c r="G153" s="38">
        <f t="shared" ref="G153:G181" si="35">H153/(J153*$J$38)</f>
        <v>5643.6363636363631</v>
      </c>
      <c r="H153" s="233">
        <f>VLOOKUP(C153,[1]TB!$B$3:$E$503,4,0)</f>
        <v>28218181.818181816</v>
      </c>
      <c r="I153" s="38">
        <f t="shared" ref="I153:I181" si="36">G153*F153</f>
        <v>2257.4545454545455</v>
      </c>
      <c r="J153" s="234">
        <f>VLOOKUP(C153,[1]TB!$B$3:$F$205,5,0)</f>
        <v>10</v>
      </c>
    </row>
    <row r="154" spans="1:10" ht="19.5" customHeight="1">
      <c r="A154" s="89"/>
      <c r="B154" s="89">
        <v>2</v>
      </c>
      <c r="C154" s="223" t="s">
        <v>228</v>
      </c>
      <c r="D154" s="81" t="s">
        <v>22</v>
      </c>
      <c r="E154" s="41">
        <v>0.3</v>
      </c>
      <c r="F154" s="82">
        <v>0.25</v>
      </c>
      <c r="G154" s="38">
        <f t="shared" ref="G154" si="37">H154/(J154*$J$38)</f>
        <v>29090.909090909088</v>
      </c>
      <c r="H154" s="233">
        <f>VLOOKUP(C154,[1]TB!$B$3:$E$503,4,0)</f>
        <v>72727272.727272719</v>
      </c>
      <c r="I154" s="38">
        <f t="shared" ref="I154" si="38">G154*F154</f>
        <v>7272.7272727272721</v>
      </c>
      <c r="J154" s="234">
        <f>VLOOKUP(C154,[1]TB!$B$3:$F$205,5,0)</f>
        <v>5</v>
      </c>
    </row>
    <row r="155" spans="1:10" ht="19.5" customHeight="1">
      <c r="A155" s="89"/>
      <c r="B155" s="89">
        <v>3</v>
      </c>
      <c r="C155" s="83" t="s">
        <v>348</v>
      </c>
      <c r="D155" s="81" t="s">
        <v>16</v>
      </c>
      <c r="E155" s="41">
        <v>0.06</v>
      </c>
      <c r="F155" s="82">
        <v>0.2</v>
      </c>
      <c r="G155" s="38">
        <f t="shared" si="35"/>
        <v>6818.1818181818171</v>
      </c>
      <c r="H155" s="233">
        <f>VLOOKUP(C155,[1]TB!$B$3:$E$503,4,0)</f>
        <v>27272727.27272727</v>
      </c>
      <c r="I155" s="38">
        <f t="shared" si="36"/>
        <v>1363.6363636363635</v>
      </c>
      <c r="J155" s="234">
        <f>VLOOKUP(C155,[1]TB!$B$3:$F$205,5,0)</f>
        <v>8</v>
      </c>
    </row>
    <row r="156" spans="1:10" ht="19.5" customHeight="1">
      <c r="A156" s="89"/>
      <c r="B156" s="89">
        <v>4</v>
      </c>
      <c r="C156" s="83" t="s">
        <v>359</v>
      </c>
      <c r="D156" s="41" t="s">
        <v>16</v>
      </c>
      <c r="E156" s="41">
        <v>0.16</v>
      </c>
      <c r="F156" s="97">
        <v>0.2</v>
      </c>
      <c r="G156" s="38">
        <f t="shared" si="35"/>
        <v>13363.636363636364</v>
      </c>
      <c r="H156" s="233">
        <f>VLOOKUP(C156,[1]TB!$B$3:$E$503,4,0)</f>
        <v>53454545.454545453</v>
      </c>
      <c r="I156" s="38">
        <f t="shared" si="36"/>
        <v>2672.727272727273</v>
      </c>
      <c r="J156" s="234">
        <f>VLOOKUP(C156,[1]TB!$B$3:$F$205,5,0)</f>
        <v>8</v>
      </c>
    </row>
    <row r="157" spans="1:10" ht="19.5" customHeight="1">
      <c r="A157" s="89"/>
      <c r="B157" s="89">
        <v>5</v>
      </c>
      <c r="C157" s="83" t="s">
        <v>129</v>
      </c>
      <c r="D157" s="41" t="s">
        <v>16</v>
      </c>
      <c r="E157" s="41">
        <v>0.16</v>
      </c>
      <c r="F157" s="100">
        <v>0.2</v>
      </c>
      <c r="G157" s="38">
        <f t="shared" si="35"/>
        <v>21381.81818181818</v>
      </c>
      <c r="H157" s="233">
        <f>VLOOKUP(C157,[1]TB!$B$3:$E$503,4,0)</f>
        <v>53454545.454545453</v>
      </c>
      <c r="I157" s="38">
        <f t="shared" si="36"/>
        <v>4276.363636363636</v>
      </c>
      <c r="J157" s="234">
        <f>VLOOKUP(C157,[1]TB!$B$3:$F$205,5,0)</f>
        <v>5</v>
      </c>
    </row>
    <row r="158" spans="1:10" ht="19.5" customHeight="1">
      <c r="A158" s="89"/>
      <c r="B158" s="89">
        <v>6</v>
      </c>
      <c r="C158" s="83" t="s">
        <v>130</v>
      </c>
      <c r="D158" s="41" t="s">
        <v>22</v>
      </c>
      <c r="E158" s="41">
        <v>0.1</v>
      </c>
      <c r="F158" s="100">
        <v>0.3</v>
      </c>
      <c r="G158" s="38">
        <f t="shared" si="35"/>
        <v>43077.090909090904</v>
      </c>
      <c r="H158" s="233">
        <f>VLOOKUP(C158,[1]TB!$B$3:$E$503,4,0)</f>
        <v>107692727.27272727</v>
      </c>
      <c r="I158" s="38">
        <f t="shared" si="36"/>
        <v>12923.127272727272</v>
      </c>
      <c r="J158" s="234">
        <f>VLOOKUP(C158,[1]TB!$B$3:$F$205,5,0)</f>
        <v>5</v>
      </c>
    </row>
    <row r="159" spans="1:10" ht="19.5" customHeight="1">
      <c r="A159" s="89"/>
      <c r="B159" s="89">
        <v>7</v>
      </c>
      <c r="C159" s="83" t="s">
        <v>131</v>
      </c>
      <c r="D159" s="41" t="s">
        <v>22</v>
      </c>
      <c r="E159" s="41"/>
      <c r="F159" s="100">
        <v>0.3</v>
      </c>
      <c r="G159" s="38">
        <f t="shared" si="35"/>
        <v>35356.363636363632</v>
      </c>
      <c r="H159" s="233">
        <f>VLOOKUP(C159,[1]TB!$B$3:$E$503,4,0)</f>
        <v>88390909.090909079</v>
      </c>
      <c r="I159" s="38">
        <f t="shared" si="36"/>
        <v>10606.90909090909</v>
      </c>
      <c r="J159" s="234">
        <f>VLOOKUP(C159,[1]TB!$B$3:$F$205,5,0)</f>
        <v>5</v>
      </c>
    </row>
    <row r="160" spans="1:10" ht="19.5" customHeight="1">
      <c r="A160" s="89"/>
      <c r="B160" s="89">
        <v>8</v>
      </c>
      <c r="C160" s="83" t="s">
        <v>132</v>
      </c>
      <c r="D160" s="41" t="s">
        <v>50</v>
      </c>
      <c r="E160" s="41"/>
      <c r="F160" s="100">
        <v>0.3</v>
      </c>
      <c r="G160" s="38">
        <f t="shared" si="35"/>
        <v>47727.272727272728</v>
      </c>
      <c r="H160" s="233">
        <f>VLOOKUP(C160,[1]TB!$B$3:$E$503,4,0)</f>
        <v>119318181.81818181</v>
      </c>
      <c r="I160" s="38">
        <f t="shared" si="36"/>
        <v>14318.181818181818</v>
      </c>
      <c r="J160" s="234">
        <f>VLOOKUP(C160,[1]TB!$B$3:$F$205,5,0)</f>
        <v>5</v>
      </c>
    </row>
    <row r="161" spans="1:10" ht="19.5" customHeight="1">
      <c r="A161" s="89"/>
      <c r="B161" s="89">
        <v>9</v>
      </c>
      <c r="C161" s="83" t="s">
        <v>133</v>
      </c>
      <c r="D161" s="41" t="s">
        <v>50</v>
      </c>
      <c r="E161" s="41">
        <v>0.6</v>
      </c>
      <c r="F161" s="100">
        <v>0.3</v>
      </c>
      <c r="G161" s="38">
        <f t="shared" si="35"/>
        <v>17945.454545454544</v>
      </c>
      <c r="H161" s="233">
        <f>VLOOKUP(C161,[1]TB!$B$3:$E$503,4,0)</f>
        <v>44863636.36363636</v>
      </c>
      <c r="I161" s="38">
        <f t="shared" si="36"/>
        <v>5383.6363636363631</v>
      </c>
      <c r="J161" s="234">
        <f>VLOOKUP(C161,[1]TB!$B$3:$F$205,5,0)</f>
        <v>5</v>
      </c>
    </row>
    <row r="162" spans="1:10" ht="19.5" customHeight="1">
      <c r="A162" s="89"/>
      <c r="B162" s="89">
        <v>10</v>
      </c>
      <c r="C162" s="83" t="s">
        <v>134</v>
      </c>
      <c r="D162" s="41" t="s">
        <v>22</v>
      </c>
      <c r="E162" s="41"/>
      <c r="F162" s="100">
        <v>0.3</v>
      </c>
      <c r="G162" s="38">
        <f t="shared" si="35"/>
        <v>11759.999999999998</v>
      </c>
      <c r="H162" s="233">
        <f>VLOOKUP(C162,[1]TB!$B$3:$E$503,4,0)</f>
        <v>29399999.999999996</v>
      </c>
      <c r="I162" s="38">
        <f t="shared" si="36"/>
        <v>3527.9999999999995</v>
      </c>
      <c r="J162" s="234">
        <f>VLOOKUP(C162,[1]TB!$B$3:$F$205,5,0)</f>
        <v>5</v>
      </c>
    </row>
    <row r="163" spans="1:10" ht="19.5" customHeight="1">
      <c r="A163" s="89"/>
      <c r="B163" s="89">
        <v>11</v>
      </c>
      <c r="C163" s="83" t="s">
        <v>135</v>
      </c>
      <c r="D163" s="41" t="s">
        <v>22</v>
      </c>
      <c r="E163" s="41">
        <v>3</v>
      </c>
      <c r="F163" s="100">
        <v>0.2</v>
      </c>
      <c r="G163" s="38">
        <f t="shared" si="35"/>
        <v>219034.54545454544</v>
      </c>
      <c r="H163" s="233">
        <f>VLOOKUP(C163,[1]TB!$B$3:$E$503,4,0)</f>
        <v>1095172727.2727273</v>
      </c>
      <c r="I163" s="38">
        <f t="shared" si="36"/>
        <v>43806.909090909088</v>
      </c>
      <c r="J163" s="234">
        <f>VLOOKUP(C163,[1]TB!$B$3:$F$205,5,0)</f>
        <v>10</v>
      </c>
    </row>
    <row r="164" spans="1:10" ht="19.5" customHeight="1">
      <c r="A164" s="89"/>
      <c r="B164" s="89">
        <v>12</v>
      </c>
      <c r="C164" s="83" t="s">
        <v>122</v>
      </c>
      <c r="D164" s="41" t="s">
        <v>50</v>
      </c>
      <c r="E164" s="82">
        <v>2.2000000000000002</v>
      </c>
      <c r="F164" s="82">
        <v>6.7000000000000004E-2</v>
      </c>
      <c r="G164" s="38">
        <f t="shared" si="35"/>
        <v>3454.545454545454</v>
      </c>
      <c r="H164" s="233">
        <f>VLOOKUP(C164,[1]TB!$B$3:$E$503,4,0)</f>
        <v>8636363.6363636348</v>
      </c>
      <c r="I164" s="38">
        <f t="shared" si="36"/>
        <v>231.45454545454544</v>
      </c>
      <c r="J164" s="234">
        <f>VLOOKUP(C164,[1]TB!$B$3:$F$205,5,0)</f>
        <v>5</v>
      </c>
    </row>
    <row r="165" spans="1:10" ht="19.5" customHeight="1">
      <c r="A165" s="89"/>
      <c r="B165" s="89">
        <v>13</v>
      </c>
      <c r="C165" s="83" t="s">
        <v>136</v>
      </c>
      <c r="D165" s="41" t="s">
        <v>22</v>
      </c>
      <c r="E165" s="41"/>
      <c r="F165" s="100">
        <v>0.4</v>
      </c>
      <c r="G165" s="38">
        <f>H165/(J165*$J$38)</f>
        <v>25454.545454545452</v>
      </c>
      <c r="H165" s="233">
        <f>VLOOKUP(C165,[1]TB!$B$3:$E$503,4,0)</f>
        <v>63636363.636363633</v>
      </c>
      <c r="I165" s="38">
        <f t="shared" si="36"/>
        <v>10181.818181818182</v>
      </c>
      <c r="J165" s="234">
        <f>VLOOKUP(C165,[1]TB!$B$3:$F$205,5,0)</f>
        <v>5</v>
      </c>
    </row>
    <row r="166" spans="1:10" ht="19.5" customHeight="1">
      <c r="A166" s="89"/>
      <c r="B166" s="89">
        <v>14</v>
      </c>
      <c r="C166" s="83" t="s">
        <v>35</v>
      </c>
      <c r="D166" s="41" t="s">
        <v>36</v>
      </c>
      <c r="E166" s="41"/>
      <c r="F166" s="100">
        <v>40.479999999999997</v>
      </c>
      <c r="G166" s="38"/>
      <c r="H166" s="233">
        <f>VLOOKUP(C166,[1]TB!$B$3:$E$503,4,0)</f>
        <v>1670.9090909090908</v>
      </c>
      <c r="I166" s="38">
        <f>H166*F166</f>
        <v>67638.399999999994</v>
      </c>
      <c r="J166" s="234">
        <f>VLOOKUP(C166,[1]TB!$B$3:$F$205,5,0)</f>
        <v>0</v>
      </c>
    </row>
    <row r="167" spans="1:10" ht="19.5" customHeight="1">
      <c r="A167" s="90">
        <v>12</v>
      </c>
      <c r="B167" s="90" t="s">
        <v>325</v>
      </c>
      <c r="C167" s="335" t="s">
        <v>118</v>
      </c>
      <c r="D167" s="335"/>
      <c r="E167" s="335"/>
      <c r="F167" s="335"/>
      <c r="G167" s="381" t="s">
        <v>331</v>
      </c>
      <c r="H167" s="381"/>
      <c r="I167" s="92">
        <f>I152</f>
        <v>118822.94545454544</v>
      </c>
      <c r="J167" s="234"/>
    </row>
    <row r="168" spans="1:10" ht="19.5" customHeight="1">
      <c r="A168" s="90">
        <v>13</v>
      </c>
      <c r="B168" s="90" t="s">
        <v>327</v>
      </c>
      <c r="C168" s="335" t="s">
        <v>231</v>
      </c>
      <c r="D168" s="335"/>
      <c r="E168" s="335"/>
      <c r="F168" s="335"/>
      <c r="G168" s="381" t="s">
        <v>331</v>
      </c>
      <c r="H168" s="381"/>
      <c r="I168" s="92">
        <f>I152</f>
        <v>118822.94545454544</v>
      </c>
      <c r="J168" s="234"/>
    </row>
    <row r="169" spans="1:10" ht="19.5" customHeight="1">
      <c r="A169" s="90">
        <v>14</v>
      </c>
      <c r="B169" s="90" t="s">
        <v>328</v>
      </c>
      <c r="C169" s="335" t="s">
        <v>9</v>
      </c>
      <c r="D169" s="335"/>
      <c r="E169" s="335"/>
      <c r="F169" s="335"/>
      <c r="G169" s="381" t="s">
        <v>331</v>
      </c>
      <c r="H169" s="381"/>
      <c r="I169" s="92">
        <f>I152</f>
        <v>118822.94545454544</v>
      </c>
      <c r="J169" s="234"/>
    </row>
    <row r="170" spans="1:10" ht="19.5" customHeight="1">
      <c r="A170" s="90">
        <v>15</v>
      </c>
      <c r="B170" s="90" t="s">
        <v>329</v>
      </c>
      <c r="C170" s="335" t="s">
        <v>143</v>
      </c>
      <c r="D170" s="335"/>
      <c r="E170" s="335"/>
      <c r="F170" s="335"/>
      <c r="G170" s="38"/>
      <c r="H170" s="46"/>
      <c r="I170" s="88">
        <f>SUM(I171:I181)</f>
        <v>98582.727272727265</v>
      </c>
      <c r="J170" s="234"/>
    </row>
    <row r="171" spans="1:10" ht="19.5" customHeight="1">
      <c r="A171" s="89"/>
      <c r="B171" s="89">
        <v>1</v>
      </c>
      <c r="C171" s="83" t="s">
        <v>123</v>
      </c>
      <c r="D171" s="41" t="s">
        <v>16</v>
      </c>
      <c r="E171" s="41">
        <v>0.1</v>
      </c>
      <c r="F171" s="12">
        <v>0.2</v>
      </c>
      <c r="G171" s="38">
        <f t="shared" si="35"/>
        <v>52690.909090909088</v>
      </c>
      <c r="H171" s="233">
        <f>VLOOKUP(C171,[1]TB!$B$3:$E$503,4,0)</f>
        <v>131727272.72727272</v>
      </c>
      <c r="I171" s="38">
        <f t="shared" si="36"/>
        <v>10538.181818181818</v>
      </c>
      <c r="J171" s="234">
        <f>VLOOKUP(C171,[1]TB!$B$3:$F$205,5,0)</f>
        <v>5</v>
      </c>
    </row>
    <row r="172" spans="1:10" ht="19.5" customHeight="1">
      <c r="A172" s="89"/>
      <c r="B172" s="89">
        <v>2</v>
      </c>
      <c r="C172" s="223" t="s">
        <v>228</v>
      </c>
      <c r="D172" s="81" t="s">
        <v>22</v>
      </c>
      <c r="E172" s="41">
        <v>0.3</v>
      </c>
      <c r="F172" s="82">
        <v>0.25</v>
      </c>
      <c r="G172" s="38">
        <f t="shared" ref="G172:G174" si="39">H172/(J172*$J$38)</f>
        <v>29090.909090909088</v>
      </c>
      <c r="H172" s="233">
        <f>VLOOKUP(C172,[1]TB!$B$3:$E$503,4,0)</f>
        <v>72727272.727272719</v>
      </c>
      <c r="I172" s="38">
        <f t="shared" ref="I172:I174" si="40">G172*F172</f>
        <v>7272.7272727272721</v>
      </c>
      <c r="J172" s="234">
        <f>VLOOKUP(C172,[1]TB!$B$3:$F$205,5,0)</f>
        <v>5</v>
      </c>
    </row>
    <row r="173" spans="1:10" ht="19.5" customHeight="1">
      <c r="A173" s="89"/>
      <c r="B173" s="89">
        <v>3</v>
      </c>
      <c r="C173" s="83" t="s">
        <v>359</v>
      </c>
      <c r="D173" s="41" t="s">
        <v>16</v>
      </c>
      <c r="E173" s="41">
        <v>0.16</v>
      </c>
      <c r="F173" s="97">
        <v>0.2</v>
      </c>
      <c r="G173" s="38">
        <f t="shared" si="39"/>
        <v>13363.636363636364</v>
      </c>
      <c r="H173" s="233">
        <f>VLOOKUP(C173,[1]TB!$B$3:$E$503,4,0)</f>
        <v>53454545.454545453</v>
      </c>
      <c r="I173" s="38">
        <f t="shared" si="40"/>
        <v>2672.727272727273</v>
      </c>
      <c r="J173" s="234">
        <f>VLOOKUP(C173,[1]TB!$B$3:$F$205,5,0)</f>
        <v>8</v>
      </c>
    </row>
    <row r="174" spans="1:10" ht="19.5" customHeight="1">
      <c r="A174" s="89"/>
      <c r="B174" s="89">
        <v>4</v>
      </c>
      <c r="C174" s="83" t="s">
        <v>129</v>
      </c>
      <c r="D174" s="41" t="s">
        <v>16</v>
      </c>
      <c r="E174" s="41">
        <v>0.16</v>
      </c>
      <c r="F174" s="100">
        <v>0.2</v>
      </c>
      <c r="G174" s="38">
        <f t="shared" si="39"/>
        <v>21381.81818181818</v>
      </c>
      <c r="H174" s="233">
        <f>VLOOKUP(C174,[1]TB!$B$3:$E$503,4,0)</f>
        <v>53454545.454545453</v>
      </c>
      <c r="I174" s="38">
        <f t="shared" si="40"/>
        <v>4276.363636363636</v>
      </c>
      <c r="J174" s="234">
        <f>VLOOKUP(C174,[1]TB!$B$3:$F$205,5,0)</f>
        <v>5</v>
      </c>
    </row>
    <row r="175" spans="1:10" ht="19.5" customHeight="1">
      <c r="A175" s="89"/>
      <c r="B175" s="89">
        <v>5</v>
      </c>
      <c r="C175" s="83" t="s">
        <v>121</v>
      </c>
      <c r="D175" s="41" t="s">
        <v>16</v>
      </c>
      <c r="E175" s="41">
        <v>0.3</v>
      </c>
      <c r="F175" s="82">
        <v>0.4</v>
      </c>
      <c r="G175" s="38">
        <f t="shared" si="35"/>
        <v>5643.6363636363631</v>
      </c>
      <c r="H175" s="233">
        <f>VLOOKUP(C175,[1]TB!$B$3:$E$503,4,0)</f>
        <v>28218181.818181816</v>
      </c>
      <c r="I175" s="38">
        <f t="shared" si="36"/>
        <v>2257.4545454545455</v>
      </c>
      <c r="J175" s="234">
        <f>VLOOKUP(C175,[1]TB!$B$3:$F$205,5,0)</f>
        <v>10</v>
      </c>
    </row>
    <row r="176" spans="1:10" ht="19.5" customHeight="1">
      <c r="A176" s="89"/>
      <c r="B176" s="89">
        <v>6</v>
      </c>
      <c r="C176" s="83" t="s">
        <v>125</v>
      </c>
      <c r="D176" s="41" t="s">
        <v>16</v>
      </c>
      <c r="E176" s="41">
        <v>0.1</v>
      </c>
      <c r="F176" s="12">
        <v>0.2</v>
      </c>
      <c r="G176" s="38">
        <f t="shared" si="35"/>
        <v>115360</v>
      </c>
      <c r="H176" s="233">
        <f>VLOOKUP(C176,[1]TB!$B$3:$E$503,4,0)</f>
        <v>288400000</v>
      </c>
      <c r="I176" s="38">
        <f t="shared" si="36"/>
        <v>23072</v>
      </c>
      <c r="J176" s="234">
        <f>VLOOKUP(C176,[1]TB!$B$3:$F$205,5,0)</f>
        <v>5</v>
      </c>
    </row>
    <row r="177" spans="1:10" ht="19.5" customHeight="1">
      <c r="A177" s="89"/>
      <c r="B177" s="89">
        <v>7</v>
      </c>
      <c r="C177" s="83" t="s">
        <v>126</v>
      </c>
      <c r="D177" s="41" t="s">
        <v>22</v>
      </c>
      <c r="E177" s="41">
        <v>2.2999999999999998</v>
      </c>
      <c r="F177" s="12">
        <v>0.2</v>
      </c>
      <c r="G177" s="38">
        <f t="shared" si="35"/>
        <v>10309.090909090908</v>
      </c>
      <c r="H177" s="233">
        <f>VLOOKUP(C177,[1]TB!$B$3:$E$503,4,0)</f>
        <v>25772727.27272727</v>
      </c>
      <c r="I177" s="38">
        <f t="shared" si="36"/>
        <v>2061.8181818181815</v>
      </c>
      <c r="J177" s="234">
        <f>VLOOKUP(C177,[1]TB!$B$3:$F$205,5,0)</f>
        <v>5</v>
      </c>
    </row>
    <row r="178" spans="1:10" ht="19.5" customHeight="1">
      <c r="A178" s="89"/>
      <c r="B178" s="89">
        <v>8</v>
      </c>
      <c r="C178" s="83" t="s">
        <v>348</v>
      </c>
      <c r="D178" s="41" t="s">
        <v>16</v>
      </c>
      <c r="E178" s="41">
        <v>0.06</v>
      </c>
      <c r="F178" s="82">
        <v>0.2</v>
      </c>
      <c r="G178" s="38">
        <f t="shared" si="35"/>
        <v>6818.1818181818171</v>
      </c>
      <c r="H178" s="233">
        <f>VLOOKUP(C178,[1]TB!$B$3:$E$503,4,0)</f>
        <v>27272727.27272727</v>
      </c>
      <c r="I178" s="38">
        <f t="shared" si="36"/>
        <v>1363.6363636363635</v>
      </c>
      <c r="J178" s="234">
        <f>VLOOKUP(C178,[1]TB!$B$3:$F$205,5,0)</f>
        <v>8</v>
      </c>
    </row>
    <row r="179" spans="1:10" ht="19.5" customHeight="1">
      <c r="A179" s="89"/>
      <c r="B179" s="89">
        <v>9</v>
      </c>
      <c r="C179" s="83" t="s">
        <v>137</v>
      </c>
      <c r="D179" s="41" t="s">
        <v>22</v>
      </c>
      <c r="E179" s="41"/>
      <c r="F179" s="42">
        <v>0.03</v>
      </c>
      <c r="G179" s="38">
        <f t="shared" si="35"/>
        <v>1014545.4545454544</v>
      </c>
      <c r="H179" s="233">
        <f>VLOOKUP(C179,[1]TB!$B$3:$E$503,4,0)</f>
        <v>5072727272.727272</v>
      </c>
      <c r="I179" s="38">
        <f t="shared" si="36"/>
        <v>30436.363636363629</v>
      </c>
      <c r="J179" s="234">
        <f>VLOOKUP(C179,[1]TB!$B$3:$F$205,5,0)</f>
        <v>10</v>
      </c>
    </row>
    <row r="180" spans="1:10" ht="19.5" customHeight="1">
      <c r="A180" s="89"/>
      <c r="B180" s="89">
        <v>10</v>
      </c>
      <c r="C180" s="83" t="s">
        <v>363</v>
      </c>
      <c r="D180" s="41" t="s">
        <v>22</v>
      </c>
      <c r="E180" s="41">
        <v>0.18</v>
      </c>
      <c r="F180" s="97">
        <v>0.4</v>
      </c>
      <c r="G180" s="38">
        <f t="shared" si="35"/>
        <v>36000</v>
      </c>
      <c r="H180" s="233">
        <f>VLOOKUP(C180,[1]TB!$B$3:$E$503,4,0)</f>
        <v>90000000</v>
      </c>
      <c r="I180" s="38">
        <f t="shared" si="36"/>
        <v>14400</v>
      </c>
      <c r="J180" s="234">
        <f>VLOOKUP(C180,[1]TB!$B$3:$F$205,5,0)</f>
        <v>5</v>
      </c>
    </row>
    <row r="181" spans="1:10" ht="19.5" customHeight="1">
      <c r="A181" s="89"/>
      <c r="B181" s="89">
        <v>11</v>
      </c>
      <c r="C181" s="83" t="s">
        <v>122</v>
      </c>
      <c r="D181" s="41" t="s">
        <v>16</v>
      </c>
      <c r="E181" s="82">
        <v>2.2000000000000002</v>
      </c>
      <c r="F181" s="82">
        <v>6.7000000000000004E-2</v>
      </c>
      <c r="G181" s="38">
        <f t="shared" si="35"/>
        <v>3454.545454545454</v>
      </c>
      <c r="H181" s="233">
        <f>VLOOKUP(C181,[1]TB!$B$3:$E$503,4,0)</f>
        <v>8636363.6363636348</v>
      </c>
      <c r="I181" s="38">
        <f t="shared" si="36"/>
        <v>231.45454545454544</v>
      </c>
      <c r="J181" s="234">
        <f>VLOOKUP(C181,[1]TB!$B$3:$F$205,5,0)</f>
        <v>5</v>
      </c>
    </row>
    <row r="182" spans="1:10" ht="19.5" customHeight="1">
      <c r="A182" s="89"/>
      <c r="B182" s="89">
        <v>12</v>
      </c>
      <c r="C182" s="83" t="s">
        <v>35</v>
      </c>
      <c r="D182" s="41" t="s">
        <v>36</v>
      </c>
      <c r="E182" s="41"/>
      <c r="F182" s="42">
        <v>55.75</v>
      </c>
      <c r="G182" s="38"/>
      <c r="H182" s="233">
        <f>VLOOKUP(C182,[1]TB!$B$3:$E$503,4,0)</f>
        <v>1670.9090909090908</v>
      </c>
      <c r="I182" s="38">
        <f>H182*F182</f>
        <v>93153.181818181809</v>
      </c>
      <c r="J182" s="234">
        <f>VLOOKUP(C182,[1]TB!$B$3:$F$205,5,0)</f>
        <v>0</v>
      </c>
    </row>
  </sheetData>
  <autoFilter ref="B1:J182"/>
  <mergeCells count="52">
    <mergeCell ref="C169:F169"/>
    <mergeCell ref="C170:F170"/>
    <mergeCell ref="G169:H169"/>
    <mergeCell ref="C45:D45"/>
    <mergeCell ref="C110:D110"/>
    <mergeCell ref="G167:H167"/>
    <mergeCell ref="C142:F142"/>
    <mergeCell ref="C53:F53"/>
    <mergeCell ref="G168:H168"/>
    <mergeCell ref="C168:F168"/>
    <mergeCell ref="G109:H109"/>
    <mergeCell ref="D125:F125"/>
    <mergeCell ref="D126:F126"/>
    <mergeCell ref="D127:F127"/>
    <mergeCell ref="D122:F122"/>
    <mergeCell ref="D124:F124"/>
    <mergeCell ref="D16:F16"/>
    <mergeCell ref="D18:F18"/>
    <mergeCell ref="D20:F20"/>
    <mergeCell ref="D21:F21"/>
    <mergeCell ref="C167:F167"/>
    <mergeCell ref="D22:F22"/>
    <mergeCell ref="D17:F17"/>
    <mergeCell ref="D19:F19"/>
    <mergeCell ref="D30:F30"/>
    <mergeCell ref="E95:G95"/>
    <mergeCell ref="D31:F31"/>
    <mergeCell ref="D32:F32"/>
    <mergeCell ref="D33:F33"/>
    <mergeCell ref="D28:F28"/>
    <mergeCell ref="D29:F29"/>
    <mergeCell ref="D23:F23"/>
    <mergeCell ref="B2:F2"/>
    <mergeCell ref="D12:F12"/>
    <mergeCell ref="D13:F13"/>
    <mergeCell ref="D14:F14"/>
    <mergeCell ref="D15:F15"/>
    <mergeCell ref="D24:F24"/>
    <mergeCell ref="D25:F25"/>
    <mergeCell ref="D26:F26"/>
    <mergeCell ref="D27:F27"/>
    <mergeCell ref="D123:F123"/>
    <mergeCell ref="D34:F34"/>
    <mergeCell ref="D35:F35"/>
    <mergeCell ref="D36:F36"/>
    <mergeCell ref="D37:F37"/>
    <mergeCell ref="B38:I38"/>
    <mergeCell ref="D128:F128"/>
    <mergeCell ref="D129:F129"/>
    <mergeCell ref="D130:F130"/>
    <mergeCell ref="D131:F131"/>
    <mergeCell ref="D132:F13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sheetPr>
    <tabColor rgb="FFFF0000"/>
  </sheetPr>
  <dimension ref="A1:S145"/>
  <sheetViews>
    <sheetView tabSelected="1" zoomScale="75" zoomScaleNormal="70" workbookViewId="0">
      <pane ySplit="5" topLeftCell="A81" activePane="bottomLeft" state="frozen"/>
      <selection pane="bottomLeft" activeCell="A4" sqref="A4:K90"/>
    </sheetView>
  </sheetViews>
  <sheetFormatPr defaultColWidth="12.5703125" defaultRowHeight="17.100000000000001" customHeight="1"/>
  <cols>
    <col min="1" max="1" width="8.7109375" style="54" customWidth="1"/>
    <col min="2" max="2" width="12.5703125" style="159"/>
    <col min="3" max="3" width="33.28515625" style="48" customWidth="1"/>
    <col min="4" max="4" width="12.5703125" style="49" collapsed="1"/>
    <col min="5" max="5" width="12.5703125" style="51" collapsed="1"/>
    <col min="6" max="6" width="12.5703125" style="50" collapsed="1"/>
    <col min="7" max="7" width="12.5703125" style="49" collapsed="1"/>
    <col min="8" max="8" width="12.5703125" style="50" collapsed="1"/>
    <col min="9" max="9" width="12.5703125" style="50"/>
    <col min="10" max="10" width="12.5703125" style="53"/>
    <col min="11" max="11" width="12.5703125" style="267"/>
    <col min="12" max="13" width="12.5703125" style="268"/>
    <col min="14" max="16384" width="12.5703125" style="50"/>
  </cols>
  <sheetData>
    <row r="1" spans="1:13" ht="17.100000000000001" customHeight="1">
      <c r="A1" s="47" t="s">
        <v>256</v>
      </c>
      <c r="J1" s="52"/>
    </row>
    <row r="2" spans="1:13" ht="35.25" customHeight="1">
      <c r="A2" s="388" t="s">
        <v>350</v>
      </c>
      <c r="B2" s="388"/>
      <c r="C2" s="388"/>
      <c r="D2" s="388"/>
      <c r="E2" s="388"/>
      <c r="F2" s="388"/>
      <c r="G2" s="388"/>
      <c r="H2" s="388"/>
      <c r="I2" s="388"/>
      <c r="J2" s="388"/>
      <c r="K2" s="388"/>
    </row>
    <row r="3" spans="1:13" ht="23.25" customHeight="1">
      <c r="B3" s="244"/>
      <c r="C3" s="55"/>
      <c r="D3" s="56"/>
      <c r="F3" s="51"/>
      <c r="G3" s="56"/>
      <c r="H3" s="51"/>
      <c r="J3" s="389" t="s">
        <v>314</v>
      </c>
      <c r="K3" s="389"/>
    </row>
    <row r="4" spans="1:13" s="62" customFormat="1" ht="53.25" customHeight="1">
      <c r="A4" s="57" t="s">
        <v>148</v>
      </c>
      <c r="B4" s="57" t="s">
        <v>1</v>
      </c>
      <c r="C4" s="59" t="s">
        <v>2</v>
      </c>
      <c r="D4" s="60" t="s">
        <v>203</v>
      </c>
      <c r="E4" s="57" t="s">
        <v>204</v>
      </c>
      <c r="F4" s="57" t="s">
        <v>205</v>
      </c>
      <c r="G4" s="60" t="s">
        <v>206</v>
      </c>
      <c r="H4" s="57" t="s">
        <v>207</v>
      </c>
      <c r="I4" s="57" t="s">
        <v>208</v>
      </c>
      <c r="J4" s="61" t="s">
        <v>209</v>
      </c>
      <c r="K4" s="61" t="s">
        <v>383</v>
      </c>
      <c r="L4" s="263" t="s">
        <v>441</v>
      </c>
      <c r="M4" s="263" t="s">
        <v>442</v>
      </c>
    </row>
    <row r="5" spans="1:13" s="68" customFormat="1" ht="23.25" customHeight="1">
      <c r="A5" s="63" t="s">
        <v>210</v>
      </c>
      <c r="B5" s="64" t="s">
        <v>211</v>
      </c>
      <c r="C5" s="65" t="s">
        <v>212</v>
      </c>
      <c r="D5" s="66">
        <v>1</v>
      </c>
      <c r="E5" s="66">
        <v>2</v>
      </c>
      <c r="F5" s="66">
        <v>3</v>
      </c>
      <c r="G5" s="66">
        <v>4</v>
      </c>
      <c r="H5" s="66">
        <v>5</v>
      </c>
      <c r="I5" s="66" t="s">
        <v>443</v>
      </c>
      <c r="J5" s="67" t="s">
        <v>444</v>
      </c>
      <c r="K5" s="61" t="s">
        <v>445</v>
      </c>
      <c r="L5" s="264">
        <v>9</v>
      </c>
      <c r="M5" s="265"/>
    </row>
    <row r="6" spans="1:13" s="35" customFormat="1" ht="34.5" customHeight="1">
      <c r="A6" s="122" t="s">
        <v>213</v>
      </c>
      <c r="B6" s="321" t="s">
        <v>342</v>
      </c>
      <c r="C6" s="322"/>
      <c r="D6" s="322"/>
      <c r="E6" s="322"/>
      <c r="F6" s="128"/>
      <c r="K6" s="272"/>
      <c r="L6" s="273"/>
      <c r="M6" s="273"/>
    </row>
    <row r="7" spans="1:13" s="77" customFormat="1" ht="24.75" customHeight="1">
      <c r="A7" s="109">
        <v>1</v>
      </c>
      <c r="B7" s="252" t="s">
        <v>258</v>
      </c>
      <c r="C7" s="112" t="s">
        <v>216</v>
      </c>
      <c r="D7" s="76">
        <f>VLOOKUP(B7,LDKT!$B$5:$G$32,6,0)</f>
        <v>65475.374999999993</v>
      </c>
      <c r="E7" s="76">
        <f>VLOOKUP(B7,Dcu!$A$6:$G$65,7,0)</f>
        <v>1992.9195804195801</v>
      </c>
      <c r="F7" s="76">
        <f>VLOOKUP(B7,VL!$B$5:$G$65,6,0)</f>
        <v>2719.6363636363635</v>
      </c>
      <c r="G7" s="75">
        <v>0</v>
      </c>
      <c r="H7" s="75">
        <f>VLOOKUP(B7,TB!$B$3:$I$490,8,0)</f>
        <v>5115.636363636364</v>
      </c>
      <c r="I7" s="73">
        <f t="shared" ref="I7:I34" si="0">D7+E7+F7+G7</f>
        <v>70187.930944055945</v>
      </c>
      <c r="J7" s="73">
        <f t="shared" ref="J7" si="1">I7*20%</f>
        <v>14037.58618881119</v>
      </c>
      <c r="K7" s="269">
        <f>ROUND((I7+J7), -2)</f>
        <v>84200</v>
      </c>
      <c r="L7" s="274">
        <v>84200</v>
      </c>
      <c r="M7" s="275">
        <f t="shared" ref="M7:M34" si="2">K7-L7</f>
        <v>0</v>
      </c>
    </row>
    <row r="8" spans="1:13" s="77" customFormat="1" ht="24.75" customHeight="1">
      <c r="A8" s="109">
        <v>2</v>
      </c>
      <c r="B8" s="252" t="s">
        <v>259</v>
      </c>
      <c r="C8" s="112" t="s">
        <v>218</v>
      </c>
      <c r="D8" s="76">
        <f>VLOOKUP(B8,LDKT!$B$5:$G$32,6,0)</f>
        <v>65475.374999999993</v>
      </c>
      <c r="E8" s="76">
        <f>VLOOKUP(B8,Dcu!$A$6:$G$65,7,0)</f>
        <v>1992.9195804195801</v>
      </c>
      <c r="F8" s="76">
        <f>VLOOKUP(B8,VL!$B$5:$G$65,6,0)</f>
        <v>47765.454545454551</v>
      </c>
      <c r="G8" s="75">
        <v>0</v>
      </c>
      <c r="H8" s="75">
        <f>VLOOKUP(B8,TB!$B$3:$I$490,8,0)</f>
        <v>5212.3054545454543</v>
      </c>
      <c r="I8" s="73">
        <f t="shared" si="0"/>
        <v>115233.74912587414</v>
      </c>
      <c r="J8" s="73">
        <f t="shared" ref="J8:J34" si="3">I8*20%</f>
        <v>23046.749825174829</v>
      </c>
      <c r="K8" s="269">
        <f t="shared" ref="K8:K64" si="4">ROUND((I8+J8), -2)</f>
        <v>138300</v>
      </c>
      <c r="L8" s="274">
        <v>181900</v>
      </c>
      <c r="M8" s="275">
        <f t="shared" si="2"/>
        <v>-43600</v>
      </c>
    </row>
    <row r="9" spans="1:13" s="77" customFormat="1" ht="24.75" customHeight="1">
      <c r="A9" s="109">
        <v>3</v>
      </c>
      <c r="B9" s="252" t="s">
        <v>260</v>
      </c>
      <c r="C9" s="112" t="s">
        <v>144</v>
      </c>
      <c r="D9" s="76">
        <f>VLOOKUP(B9,LDKT!$B$5:$G$32,6,0)</f>
        <v>63827.749999999993</v>
      </c>
      <c r="E9" s="76">
        <f>VLOOKUP(B9,Dcu!$A$6:$G$65,7,0)</f>
        <v>1992.9195804195801</v>
      </c>
      <c r="F9" s="76">
        <f>VLOOKUP(B9,VL!$B$5:$G$65,6,0)</f>
        <v>2719.6363636363635</v>
      </c>
      <c r="G9" s="75">
        <v>0</v>
      </c>
      <c r="H9" s="75">
        <f>VLOOKUP(B9,TB!$B$3:$I$490,8,0)</f>
        <v>5212.3054545454543</v>
      </c>
      <c r="I9" s="73">
        <f t="shared" si="0"/>
        <v>68540.305944055945</v>
      </c>
      <c r="J9" s="73">
        <f t="shared" si="3"/>
        <v>13708.061188811189</v>
      </c>
      <c r="K9" s="269">
        <f t="shared" si="4"/>
        <v>82200</v>
      </c>
      <c r="L9" s="274">
        <v>107900</v>
      </c>
      <c r="M9" s="275">
        <f t="shared" si="2"/>
        <v>-25700</v>
      </c>
    </row>
    <row r="10" spans="1:13" s="77" customFormat="1" ht="24.75" customHeight="1">
      <c r="A10" s="109">
        <v>4</v>
      </c>
      <c r="B10" s="252" t="s">
        <v>261</v>
      </c>
      <c r="C10" s="112" t="s">
        <v>5</v>
      </c>
      <c r="D10" s="76">
        <f>VLOOKUP(B10,LDKT!$B$5:$G$32,6,0)</f>
        <v>63827.749999999993</v>
      </c>
      <c r="E10" s="76">
        <f>VLOOKUP(B10,Dcu!$A$6:$G$65,7,0)</f>
        <v>1992.9195804195801</v>
      </c>
      <c r="F10" s="76">
        <f>VLOOKUP(B10,VL!$B$5:$G$65,6,0)</f>
        <v>2719.6363636363635</v>
      </c>
      <c r="G10" s="75">
        <v>0</v>
      </c>
      <c r="H10" s="75">
        <f>VLOOKUP(B10,TB!$B$3:$I$490,8,0)</f>
        <v>5212.3054545454543</v>
      </c>
      <c r="I10" s="73">
        <f t="shared" si="0"/>
        <v>68540.305944055945</v>
      </c>
      <c r="J10" s="73">
        <f t="shared" si="3"/>
        <v>13708.061188811189</v>
      </c>
      <c r="K10" s="269">
        <f t="shared" si="4"/>
        <v>82200</v>
      </c>
      <c r="L10" s="274">
        <v>84200</v>
      </c>
      <c r="M10" s="275">
        <f t="shared" si="2"/>
        <v>-2000</v>
      </c>
    </row>
    <row r="11" spans="1:13" s="77" customFormat="1" ht="24.75" customHeight="1">
      <c r="A11" s="109">
        <v>5</v>
      </c>
      <c r="B11" s="252" t="s">
        <v>262</v>
      </c>
      <c r="C11" s="133" t="s">
        <v>230</v>
      </c>
      <c r="D11" s="76">
        <f>VLOOKUP(B11,LDKT!$B$5:$G$32,6,0)</f>
        <v>63827.749999999993</v>
      </c>
      <c r="E11" s="76">
        <f>VLOOKUP(B11,Dcu!$A$6:$G$65,7,0)</f>
        <v>1992.9195804195801</v>
      </c>
      <c r="F11" s="76">
        <f>VLOOKUP(B11,VL!$B$5:$G$65,6,0)</f>
        <v>2719.6363636363635</v>
      </c>
      <c r="G11" s="75">
        <v>0</v>
      </c>
      <c r="H11" s="75">
        <f>VLOOKUP(B11,TB!$B$3:$I$490,8,0)</f>
        <v>5212.3054545454543</v>
      </c>
      <c r="I11" s="73">
        <f t="shared" si="0"/>
        <v>68540.305944055945</v>
      </c>
      <c r="J11" s="73">
        <f t="shared" si="3"/>
        <v>13708.061188811189</v>
      </c>
      <c r="K11" s="269">
        <f t="shared" si="4"/>
        <v>82200</v>
      </c>
      <c r="L11" s="274">
        <v>120900</v>
      </c>
      <c r="M11" s="275">
        <f t="shared" si="2"/>
        <v>-38700</v>
      </c>
    </row>
    <row r="12" spans="1:13" s="77" customFormat="1" ht="24.75" customHeight="1">
      <c r="A12" s="109">
        <v>6</v>
      </c>
      <c r="B12" s="252" t="s">
        <v>384</v>
      </c>
      <c r="C12" s="112" t="s">
        <v>387</v>
      </c>
      <c r="D12" s="76">
        <f>VLOOKUP(B12,LDKT!$B$5:$G$32,6,0)</f>
        <v>63827.749999999993</v>
      </c>
      <c r="E12" s="76">
        <f>VLOOKUP(B12,Dcu!$A$6:$G$65,7,0)</f>
        <v>1992.9195804195801</v>
      </c>
      <c r="F12" s="76">
        <f>VLOOKUP(B12,VL!$B$5:$G$65,6,0)</f>
        <v>2719.6363636363635</v>
      </c>
      <c r="G12" s="75">
        <v>0</v>
      </c>
      <c r="H12" s="75">
        <f>VLOOKUP(B12,TB!$B$3:$I$490,8,0)</f>
        <v>5212.3054545454543</v>
      </c>
      <c r="I12" s="73">
        <f t="shared" si="0"/>
        <v>68540.305944055945</v>
      </c>
      <c r="J12" s="73">
        <f t="shared" si="3"/>
        <v>13708.061188811189</v>
      </c>
      <c r="K12" s="269">
        <f t="shared" si="4"/>
        <v>82200</v>
      </c>
      <c r="L12" s="274">
        <v>84200</v>
      </c>
      <c r="M12" s="275">
        <f t="shared" si="2"/>
        <v>-2000</v>
      </c>
    </row>
    <row r="13" spans="1:13" s="77" customFormat="1" ht="24.75" customHeight="1">
      <c r="A13" s="109">
        <v>7</v>
      </c>
      <c r="B13" s="252" t="s">
        <v>385</v>
      </c>
      <c r="C13" s="112" t="s">
        <v>386</v>
      </c>
      <c r="D13" s="76">
        <f>VLOOKUP(B13,LDKT!$B$5:$G$32,6,0)</f>
        <v>63827.749999999993</v>
      </c>
      <c r="E13" s="76">
        <f>VLOOKUP(B13,Dcu!$A$6:$G$65,7,0)</f>
        <v>1992.9195804195801</v>
      </c>
      <c r="F13" s="76">
        <f>VLOOKUP(B13,VL!$B$5:$G$65,6,0)</f>
        <v>2719.6363636363635</v>
      </c>
      <c r="G13" s="75">
        <v>0</v>
      </c>
      <c r="H13" s="75">
        <f>VLOOKUP(B13,TB!$B$3:$I$490,8,0)</f>
        <v>5212.3054545454543</v>
      </c>
      <c r="I13" s="73">
        <f t="shared" si="0"/>
        <v>68540.305944055945</v>
      </c>
      <c r="J13" s="73">
        <f t="shared" ref="J13:J16" si="5">I13*20%</f>
        <v>13708.061188811189</v>
      </c>
      <c r="K13" s="269">
        <f t="shared" ref="K13:K16" si="6">ROUND((I13+J13), -2)</f>
        <v>82200</v>
      </c>
      <c r="L13" s="274">
        <v>84200</v>
      </c>
      <c r="M13" s="275">
        <f t="shared" si="2"/>
        <v>-2000</v>
      </c>
    </row>
    <row r="14" spans="1:13" s="77" customFormat="1" ht="24.75" customHeight="1">
      <c r="A14" s="109">
        <v>8</v>
      </c>
      <c r="B14" s="252" t="s">
        <v>388</v>
      </c>
      <c r="C14" s="112" t="s">
        <v>241</v>
      </c>
      <c r="D14" s="76">
        <f>VLOOKUP(B14,LDKT!$B$5:$G$32,6,0)</f>
        <v>63827.749999999993</v>
      </c>
      <c r="E14" s="76">
        <f>VLOOKUP(B14,Dcu!$A$6:$G$65,7,0)</f>
        <v>1992.9195804195801</v>
      </c>
      <c r="F14" s="76">
        <f>VLOOKUP(B14,VL!$B$5:$G$65,6,0)</f>
        <v>2719.6363636363635</v>
      </c>
      <c r="G14" s="75">
        <v>0</v>
      </c>
      <c r="H14" s="75">
        <f>VLOOKUP(B14,TB!$B$3:$I$490,8,0)</f>
        <v>5212.3054545454543</v>
      </c>
      <c r="I14" s="73">
        <f t="shared" si="0"/>
        <v>68540.305944055945</v>
      </c>
      <c r="J14" s="73">
        <f t="shared" si="5"/>
        <v>13708.061188811189</v>
      </c>
      <c r="K14" s="269">
        <f t="shared" si="6"/>
        <v>82200</v>
      </c>
      <c r="L14" s="274">
        <v>84200</v>
      </c>
      <c r="M14" s="275">
        <f t="shared" si="2"/>
        <v>-2000</v>
      </c>
    </row>
    <row r="15" spans="1:13" s="77" customFormat="1" ht="24.75" customHeight="1">
      <c r="A15" s="109">
        <v>9</v>
      </c>
      <c r="B15" s="252" t="s">
        <v>389</v>
      </c>
      <c r="C15" s="112" t="s">
        <v>240</v>
      </c>
      <c r="D15" s="76">
        <f>VLOOKUP(B15,LDKT!$B$5:$G$32,6,0)</f>
        <v>63827.749999999993</v>
      </c>
      <c r="E15" s="76">
        <f>VLOOKUP(B15,Dcu!$A$6:$G$65,7,0)</f>
        <v>1992.9195804195801</v>
      </c>
      <c r="F15" s="76">
        <f>VLOOKUP(B15,VL!$B$5:$G$65,6,0)</f>
        <v>2719.6363636363635</v>
      </c>
      <c r="G15" s="75">
        <v>0</v>
      </c>
      <c r="H15" s="75">
        <f>VLOOKUP(B15,TB!$B$3:$I$490,8,0)</f>
        <v>5212.3054545454543</v>
      </c>
      <c r="I15" s="73">
        <f t="shared" si="0"/>
        <v>68540.305944055945</v>
      </c>
      <c r="J15" s="73">
        <f t="shared" si="5"/>
        <v>13708.061188811189</v>
      </c>
      <c r="K15" s="269">
        <f t="shared" si="6"/>
        <v>82200</v>
      </c>
      <c r="L15" s="274">
        <v>84200</v>
      </c>
      <c r="M15" s="275">
        <f t="shared" si="2"/>
        <v>-2000</v>
      </c>
    </row>
    <row r="16" spans="1:13" s="77" customFormat="1" ht="24.75" customHeight="1">
      <c r="A16" s="109">
        <v>10</v>
      </c>
      <c r="B16" s="252" t="s">
        <v>391</v>
      </c>
      <c r="C16" s="112" t="s">
        <v>390</v>
      </c>
      <c r="D16" s="76">
        <f>VLOOKUP(B16,LDKT!$B$5:$G$32,6,0)</f>
        <v>63827.749999999993</v>
      </c>
      <c r="E16" s="76">
        <f>VLOOKUP(B16,Dcu!$A$6:$G$65,7,0)</f>
        <v>1992.9195804195801</v>
      </c>
      <c r="F16" s="76">
        <f>VLOOKUP(B16,VL!$B$5:$G$65,6,0)</f>
        <v>2719.6363636363635</v>
      </c>
      <c r="G16" s="75">
        <v>0</v>
      </c>
      <c r="H16" s="75">
        <f>VLOOKUP(B16,TB!$B$3:$I$490,8,0)</f>
        <v>5212.3054545454543</v>
      </c>
      <c r="I16" s="73">
        <f t="shared" si="0"/>
        <v>68540.305944055945</v>
      </c>
      <c r="J16" s="73">
        <f t="shared" si="5"/>
        <v>13708.061188811189</v>
      </c>
      <c r="K16" s="269">
        <f t="shared" si="6"/>
        <v>82200</v>
      </c>
      <c r="L16" s="274">
        <v>84200</v>
      </c>
      <c r="M16" s="275">
        <f t="shared" si="2"/>
        <v>-2000</v>
      </c>
    </row>
    <row r="17" spans="1:13" s="77" customFormat="1" ht="24.75" customHeight="1">
      <c r="A17" s="109">
        <v>11</v>
      </c>
      <c r="B17" s="252" t="s">
        <v>392</v>
      </c>
      <c r="C17" s="112" t="s">
        <v>397</v>
      </c>
      <c r="D17" s="76">
        <f>VLOOKUP(B17,LDKT!$B$5:$G$32,6,0)</f>
        <v>63827.749999999993</v>
      </c>
      <c r="E17" s="76">
        <f>VLOOKUP(B17,Dcu!$A$6:$G$65,7,0)</f>
        <v>1992.9195804195801</v>
      </c>
      <c r="F17" s="76">
        <f>VLOOKUP(B17,VL!$B$5:$G$65,6,0)</f>
        <v>2719.6363636363635</v>
      </c>
      <c r="G17" s="75">
        <v>0</v>
      </c>
      <c r="H17" s="75">
        <f>VLOOKUP(B17,TB!$B$3:$I$490,8,0)</f>
        <v>5212.3054545454543</v>
      </c>
      <c r="I17" s="73">
        <f t="shared" si="0"/>
        <v>68540.305944055945</v>
      </c>
      <c r="J17" s="73">
        <f t="shared" ref="J17:J27" si="7">I17*20%</f>
        <v>13708.061188811189</v>
      </c>
      <c r="K17" s="269">
        <f t="shared" ref="K17:K27" si="8">ROUND((I17+J17), -2)</f>
        <v>82200</v>
      </c>
      <c r="L17" s="274">
        <v>84200</v>
      </c>
      <c r="M17" s="275">
        <f t="shared" si="2"/>
        <v>-2000</v>
      </c>
    </row>
    <row r="18" spans="1:13" s="77" customFormat="1" ht="24.75" customHeight="1">
      <c r="A18" s="109">
        <v>12</v>
      </c>
      <c r="B18" s="252" t="s">
        <v>393</v>
      </c>
      <c r="C18" s="112" t="s">
        <v>398</v>
      </c>
      <c r="D18" s="76">
        <f>VLOOKUP(B18,LDKT!$B$5:$G$32,6,0)</f>
        <v>63827.749999999993</v>
      </c>
      <c r="E18" s="76">
        <f>VLOOKUP(B18,Dcu!$A$6:$G$65,7,0)</f>
        <v>1992.9195804195801</v>
      </c>
      <c r="F18" s="76">
        <f>VLOOKUP(B18,VL!$B$5:$G$65,6,0)</f>
        <v>2719.6363636363635</v>
      </c>
      <c r="G18" s="75">
        <v>0</v>
      </c>
      <c r="H18" s="75">
        <f>VLOOKUP(B18,TB!$B$3:$I$490,8,0)</f>
        <v>5212.3054545454543</v>
      </c>
      <c r="I18" s="73">
        <f t="shared" si="0"/>
        <v>68540.305944055945</v>
      </c>
      <c r="J18" s="73">
        <f t="shared" si="7"/>
        <v>13708.061188811189</v>
      </c>
      <c r="K18" s="269">
        <f t="shared" si="8"/>
        <v>82200</v>
      </c>
      <c r="L18" s="274">
        <v>84200</v>
      </c>
      <c r="M18" s="275">
        <f t="shared" si="2"/>
        <v>-2000</v>
      </c>
    </row>
    <row r="19" spans="1:13" s="77" customFormat="1" ht="24.75" customHeight="1">
      <c r="A19" s="109">
        <v>13</v>
      </c>
      <c r="B19" s="252" t="s">
        <v>394</v>
      </c>
      <c r="C19" s="112" t="s">
        <v>405</v>
      </c>
      <c r="D19" s="76">
        <f>VLOOKUP(B19,LDKT!$B$5:$G$32,6,0)</f>
        <v>63827.749999999993</v>
      </c>
      <c r="E19" s="76">
        <f>VLOOKUP(B19,Dcu!$A$6:$G$65,7,0)</f>
        <v>1992.9195804195801</v>
      </c>
      <c r="F19" s="76">
        <f>VLOOKUP(B19,VL!$B$5:$G$65,6,0)</f>
        <v>2719.6363636363635</v>
      </c>
      <c r="G19" s="75">
        <v>0</v>
      </c>
      <c r="H19" s="75">
        <f>VLOOKUP(B19,TB!$B$3:$I$490,8,0)</f>
        <v>5212.3054545454543</v>
      </c>
      <c r="I19" s="73">
        <f t="shared" si="0"/>
        <v>68540.305944055945</v>
      </c>
      <c r="J19" s="73">
        <f t="shared" si="7"/>
        <v>13708.061188811189</v>
      </c>
      <c r="K19" s="269">
        <f t="shared" si="8"/>
        <v>82200</v>
      </c>
      <c r="L19" s="274">
        <v>84200</v>
      </c>
      <c r="M19" s="275">
        <f t="shared" si="2"/>
        <v>-2000</v>
      </c>
    </row>
    <row r="20" spans="1:13" s="77" customFormat="1" ht="24.75" customHeight="1">
      <c r="A20" s="109">
        <v>14</v>
      </c>
      <c r="B20" s="252" t="s">
        <v>407</v>
      </c>
      <c r="C20" s="112" t="s">
        <v>399</v>
      </c>
      <c r="D20" s="76">
        <f>VLOOKUP(B20,LDKT!$B$5:$G$32,6,0)</f>
        <v>63827.749999999993</v>
      </c>
      <c r="E20" s="76">
        <f>VLOOKUP(B20,Dcu!$A$6:$G$65,7,0)</f>
        <v>1992.9195804195801</v>
      </c>
      <c r="F20" s="76">
        <f>VLOOKUP(B20,VL!$B$5:$G$65,6,0)</f>
        <v>2719.6363636363635</v>
      </c>
      <c r="G20" s="75">
        <v>0</v>
      </c>
      <c r="H20" s="75">
        <f>VLOOKUP(B20,TB!$B$3:$I$490,8,0)</f>
        <v>5212.3054545454543</v>
      </c>
      <c r="I20" s="73">
        <f t="shared" si="0"/>
        <v>68540.305944055945</v>
      </c>
      <c r="J20" s="73">
        <f t="shared" si="7"/>
        <v>13708.061188811189</v>
      </c>
      <c r="K20" s="269">
        <f t="shared" si="8"/>
        <v>82200</v>
      </c>
      <c r="L20" s="274">
        <v>84200</v>
      </c>
      <c r="M20" s="275">
        <f t="shared" si="2"/>
        <v>-2000</v>
      </c>
    </row>
    <row r="21" spans="1:13" s="77" customFormat="1" ht="24.75" customHeight="1">
      <c r="A21" s="109">
        <v>15</v>
      </c>
      <c r="B21" s="252" t="s">
        <v>395</v>
      </c>
      <c r="C21" s="112" t="s">
        <v>401</v>
      </c>
      <c r="D21" s="76">
        <f>VLOOKUP(B21,LDKT!$B$5:$G$32,6,0)</f>
        <v>63827.749999999993</v>
      </c>
      <c r="E21" s="76">
        <f>VLOOKUP(B21,Dcu!$A$6:$G$65,7,0)</f>
        <v>1992.9195804195801</v>
      </c>
      <c r="F21" s="76">
        <f>VLOOKUP(B21,VL!$B$5:$G$65,6,0)</f>
        <v>2719.6363636363635</v>
      </c>
      <c r="G21" s="75">
        <v>0</v>
      </c>
      <c r="H21" s="75">
        <f>VLOOKUP(B21,TB!$B$3:$I$490,8,0)</f>
        <v>5212.3054545454543</v>
      </c>
      <c r="I21" s="73">
        <f t="shared" si="0"/>
        <v>68540.305944055945</v>
      </c>
      <c r="J21" s="73">
        <f t="shared" si="7"/>
        <v>13708.061188811189</v>
      </c>
      <c r="K21" s="269">
        <f t="shared" si="8"/>
        <v>82200</v>
      </c>
      <c r="L21" s="274">
        <v>84200</v>
      </c>
      <c r="M21" s="275">
        <f t="shared" si="2"/>
        <v>-2000</v>
      </c>
    </row>
    <row r="22" spans="1:13" s="77" customFormat="1" ht="24.75" customHeight="1">
      <c r="A22" s="109">
        <v>16</v>
      </c>
      <c r="B22" s="252" t="s">
        <v>396</v>
      </c>
      <c r="C22" s="112" t="s">
        <v>400</v>
      </c>
      <c r="D22" s="76">
        <f>VLOOKUP(B22,LDKT!$B$5:$G$32,6,0)</f>
        <v>63827.749999999993</v>
      </c>
      <c r="E22" s="76">
        <f>VLOOKUP(B22,Dcu!$A$6:$G$65,7,0)</f>
        <v>1992.9195804195801</v>
      </c>
      <c r="F22" s="76">
        <f>VLOOKUP(B22,VL!$B$5:$G$65,6,0)</f>
        <v>2719.6363636363635</v>
      </c>
      <c r="G22" s="75">
        <v>0</v>
      </c>
      <c r="H22" s="75">
        <f>VLOOKUP(B22,TB!$B$3:$I$490,8,0)</f>
        <v>5212.3054545454543</v>
      </c>
      <c r="I22" s="73">
        <f t="shared" si="0"/>
        <v>68540.305944055945</v>
      </c>
      <c r="J22" s="73">
        <f t="shared" si="7"/>
        <v>13708.061188811189</v>
      </c>
      <c r="K22" s="269">
        <f t="shared" si="8"/>
        <v>82200</v>
      </c>
      <c r="L22" s="274">
        <v>84200</v>
      </c>
      <c r="M22" s="275">
        <f t="shared" si="2"/>
        <v>-2000</v>
      </c>
    </row>
    <row r="23" spans="1:13" s="77" customFormat="1" ht="24.75" customHeight="1">
      <c r="A23" s="109">
        <v>17</v>
      </c>
      <c r="B23" s="252" t="s">
        <v>408</v>
      </c>
      <c r="C23" s="112" t="s">
        <v>402</v>
      </c>
      <c r="D23" s="76">
        <f>VLOOKUP(B23,LDKT!$B$5:$G$32,6,0)</f>
        <v>63827.749999999993</v>
      </c>
      <c r="E23" s="76">
        <f>VLOOKUP(B23,Dcu!$A$6:$G$65,7,0)</f>
        <v>1992.9195804195801</v>
      </c>
      <c r="F23" s="76">
        <f>VLOOKUP(B23,VL!$B$5:$G$65,6,0)</f>
        <v>2719.6363636363635</v>
      </c>
      <c r="G23" s="75">
        <v>0</v>
      </c>
      <c r="H23" s="75">
        <f>VLOOKUP(B23,TB!$B$3:$I$490,8,0)</f>
        <v>5212.3054545454543</v>
      </c>
      <c r="I23" s="73">
        <f t="shared" si="0"/>
        <v>68540.305944055945</v>
      </c>
      <c r="J23" s="73">
        <f t="shared" si="7"/>
        <v>13708.061188811189</v>
      </c>
      <c r="K23" s="269">
        <f t="shared" si="8"/>
        <v>82200</v>
      </c>
      <c r="L23" s="274">
        <v>84200</v>
      </c>
      <c r="M23" s="275">
        <f t="shared" si="2"/>
        <v>-2000</v>
      </c>
    </row>
    <row r="24" spans="1:13" s="77" customFormat="1" ht="24.75" customHeight="1">
      <c r="A24" s="109">
        <v>18</v>
      </c>
      <c r="B24" s="252" t="s">
        <v>409</v>
      </c>
      <c r="C24" s="112" t="s">
        <v>403</v>
      </c>
      <c r="D24" s="76">
        <f>VLOOKUP(B24,LDKT!$B$5:$G$32,6,0)</f>
        <v>63827.749999999993</v>
      </c>
      <c r="E24" s="76">
        <f>VLOOKUP(B24,Dcu!$A$6:$G$65,7,0)</f>
        <v>1992.9195804195801</v>
      </c>
      <c r="F24" s="76">
        <f>VLOOKUP(B24,VL!$B$5:$G$65,6,0)</f>
        <v>2719.6363636363635</v>
      </c>
      <c r="G24" s="75">
        <v>0</v>
      </c>
      <c r="H24" s="75">
        <f>VLOOKUP(B24,TB!$B$3:$I$490,8,0)</f>
        <v>5212.3054545454543</v>
      </c>
      <c r="I24" s="73">
        <f t="shared" si="0"/>
        <v>68540.305944055945</v>
      </c>
      <c r="J24" s="73">
        <f t="shared" si="7"/>
        <v>13708.061188811189</v>
      </c>
      <c r="K24" s="269">
        <f t="shared" si="8"/>
        <v>82200</v>
      </c>
      <c r="L24" s="274">
        <v>84200</v>
      </c>
      <c r="M24" s="275">
        <f t="shared" si="2"/>
        <v>-2000</v>
      </c>
    </row>
    <row r="25" spans="1:13" s="77" customFormat="1" ht="24.75" customHeight="1">
      <c r="A25" s="109">
        <v>19</v>
      </c>
      <c r="B25" s="252" t="s">
        <v>410</v>
      </c>
      <c r="C25" s="112" t="s">
        <v>404</v>
      </c>
      <c r="D25" s="76">
        <f>VLOOKUP(B25,LDKT!$B$5:$G$32,6,0)</f>
        <v>63827.749999999993</v>
      </c>
      <c r="E25" s="76">
        <f>VLOOKUP(B25,Dcu!$A$6:$G$65,7,0)</f>
        <v>1992.9195804195801</v>
      </c>
      <c r="F25" s="76">
        <f>VLOOKUP(B25,VL!$B$5:$G$65,6,0)</f>
        <v>2719.6363636363635</v>
      </c>
      <c r="G25" s="75">
        <v>0</v>
      </c>
      <c r="H25" s="75">
        <f>VLOOKUP(B25,TB!$B$3:$I$490,8,0)</f>
        <v>5212.3054545454543</v>
      </c>
      <c r="I25" s="73">
        <f t="shared" si="0"/>
        <v>68540.305944055945</v>
      </c>
      <c r="J25" s="73">
        <f t="shared" si="7"/>
        <v>13708.061188811189</v>
      </c>
      <c r="K25" s="269">
        <f t="shared" si="8"/>
        <v>82200</v>
      </c>
      <c r="L25" s="274">
        <v>84200</v>
      </c>
      <c r="M25" s="275">
        <f t="shared" si="2"/>
        <v>-2000</v>
      </c>
    </row>
    <row r="26" spans="1:13" s="77" customFormat="1" ht="24.75" customHeight="1">
      <c r="A26" s="109">
        <v>20</v>
      </c>
      <c r="B26" s="252" t="s">
        <v>411</v>
      </c>
      <c r="C26" s="112" t="s">
        <v>406</v>
      </c>
      <c r="D26" s="76">
        <f>VLOOKUP(B26,LDKT!$B$5:$G$32,6,0)</f>
        <v>63827.749999999993</v>
      </c>
      <c r="E26" s="76">
        <f>VLOOKUP(B26,Dcu!$A$6:$G$65,7,0)</f>
        <v>1992.9195804195801</v>
      </c>
      <c r="F26" s="76">
        <f>VLOOKUP(B26,VL!$B$5:$G$65,6,0)</f>
        <v>2719.6363636363635</v>
      </c>
      <c r="G26" s="75">
        <v>0</v>
      </c>
      <c r="H26" s="75">
        <f>VLOOKUP(B26,TB!$B$3:$I$490,8,0)</f>
        <v>5212.3054545454543</v>
      </c>
      <c r="I26" s="73">
        <f t="shared" si="0"/>
        <v>68540.305944055945</v>
      </c>
      <c r="J26" s="73">
        <f t="shared" si="7"/>
        <v>13708.061188811189</v>
      </c>
      <c r="K26" s="269">
        <f t="shared" si="8"/>
        <v>82200</v>
      </c>
      <c r="L26" s="274">
        <v>84200</v>
      </c>
      <c r="M26" s="275">
        <f t="shared" si="2"/>
        <v>-2000</v>
      </c>
    </row>
    <row r="27" spans="1:13" s="77" customFormat="1" ht="24.75" customHeight="1">
      <c r="A27" s="109">
        <v>21</v>
      </c>
      <c r="B27" s="252" t="s">
        <v>434</v>
      </c>
      <c r="C27" s="112" t="s">
        <v>433</v>
      </c>
      <c r="D27" s="76">
        <f>VLOOKUP(B27,LDKT!$B$5:$G$32,6,0)</f>
        <v>63827.749999999993</v>
      </c>
      <c r="E27" s="76">
        <f>VLOOKUP(B27,Dcu!$A$6:$G$65,7,0)</f>
        <v>1992.9195804195801</v>
      </c>
      <c r="F27" s="76">
        <f>VLOOKUP(B27,VL!$B$5:$G$65,6,0)</f>
        <v>2719.6363636363635</v>
      </c>
      <c r="G27" s="75">
        <v>0</v>
      </c>
      <c r="H27" s="75">
        <f>VLOOKUP(B27,TB!$B$3:$I$490,8,0)</f>
        <v>5212.3054545454543</v>
      </c>
      <c r="I27" s="73">
        <f t="shared" si="0"/>
        <v>68540.305944055945</v>
      </c>
      <c r="J27" s="73">
        <f t="shared" si="7"/>
        <v>13708.061188811189</v>
      </c>
      <c r="K27" s="269">
        <f t="shared" si="8"/>
        <v>82200</v>
      </c>
      <c r="L27" s="274">
        <v>84200</v>
      </c>
      <c r="M27" s="275">
        <f t="shared" si="2"/>
        <v>-2000</v>
      </c>
    </row>
    <row r="28" spans="1:13" s="77" customFormat="1" ht="24.75" customHeight="1">
      <c r="A28" s="109">
        <v>22</v>
      </c>
      <c r="B28" s="252" t="s">
        <v>263</v>
      </c>
      <c r="C28" s="112" t="s">
        <v>4</v>
      </c>
      <c r="D28" s="76">
        <f>VLOOKUP(B28,LDKT!$B$5:$G$32,6,0)</f>
        <v>71595.125</v>
      </c>
      <c r="E28" s="76">
        <f>VLOOKUP(B28,Dcu!$A$6:$G$65,7,0)</f>
        <v>1992.9195804195801</v>
      </c>
      <c r="F28" s="76">
        <f>VLOOKUP(B28,VL!$B$5:$G$65,6,0)</f>
        <v>2719.6363636363635</v>
      </c>
      <c r="G28" s="75">
        <v>0</v>
      </c>
      <c r="H28" s="75">
        <f>VLOOKUP(B28,TB!$B$3:$I$490,8,0)</f>
        <v>5212.3054545454543</v>
      </c>
      <c r="I28" s="73">
        <f t="shared" si="0"/>
        <v>76307.680944055945</v>
      </c>
      <c r="J28" s="73">
        <f t="shared" si="3"/>
        <v>15261.536188811189</v>
      </c>
      <c r="K28" s="269">
        <f t="shared" si="4"/>
        <v>91600</v>
      </c>
      <c r="L28" s="274">
        <v>84200</v>
      </c>
      <c r="M28" s="275">
        <f t="shared" si="2"/>
        <v>7400</v>
      </c>
    </row>
    <row r="29" spans="1:13" s="77" customFormat="1" ht="24.75" customHeight="1">
      <c r="A29" s="109">
        <v>23</v>
      </c>
      <c r="B29" s="252" t="s">
        <v>264</v>
      </c>
      <c r="C29" s="133" t="s">
        <v>6</v>
      </c>
      <c r="D29" s="76">
        <f>VLOOKUP(B29,LDKT!$B$5:$G$32,6,0)</f>
        <v>71595.125</v>
      </c>
      <c r="E29" s="76">
        <f>VLOOKUP(B29,Dcu!$A$6:$G$65,7,0)</f>
        <v>1992.9195804195801</v>
      </c>
      <c r="F29" s="76">
        <f>VLOOKUP(B29,VL!$B$5:$G$65,6,0)</f>
        <v>2719.6363636363635</v>
      </c>
      <c r="G29" s="75">
        <v>0</v>
      </c>
      <c r="H29" s="75">
        <f>VLOOKUP(B29,TB!$B$3:$I$490,8,0)</f>
        <v>5212.3054545454543</v>
      </c>
      <c r="I29" s="73">
        <f t="shared" si="0"/>
        <v>76307.680944055945</v>
      </c>
      <c r="J29" s="73">
        <f t="shared" si="3"/>
        <v>15261.536188811189</v>
      </c>
      <c r="K29" s="269">
        <f t="shared" si="4"/>
        <v>91600</v>
      </c>
      <c r="L29" s="274">
        <v>107900</v>
      </c>
      <c r="M29" s="275">
        <f t="shared" si="2"/>
        <v>-16300</v>
      </c>
    </row>
    <row r="30" spans="1:13" s="77" customFormat="1" ht="24.75" customHeight="1">
      <c r="A30" s="109">
        <v>24</v>
      </c>
      <c r="B30" s="252" t="s">
        <v>322</v>
      </c>
      <c r="C30" s="112" t="s">
        <v>7</v>
      </c>
      <c r="D30" s="76">
        <f>VLOOKUP(B30,LDKT!$B$5:$G$32,6,0)</f>
        <v>71595.125</v>
      </c>
      <c r="E30" s="76">
        <f>VLOOKUP(B30,Dcu!$A$6:$G$65,7,0)</f>
        <v>1992.9195804195801</v>
      </c>
      <c r="F30" s="76">
        <f>VLOOKUP(B30,VL!$B$5:$G$65,6,0)</f>
        <v>2719.6363636363635</v>
      </c>
      <c r="G30" s="75">
        <v>0</v>
      </c>
      <c r="H30" s="75">
        <f>VLOOKUP(B30,TB!$B$3:$I$490,8,0)</f>
        <v>5212.3054545454543</v>
      </c>
      <c r="I30" s="73">
        <f t="shared" si="0"/>
        <v>76307.680944055945</v>
      </c>
      <c r="J30" s="73">
        <f t="shared" si="3"/>
        <v>15261.536188811189</v>
      </c>
      <c r="K30" s="269">
        <f t="shared" si="4"/>
        <v>91600</v>
      </c>
      <c r="L30" s="274">
        <v>104900</v>
      </c>
      <c r="M30" s="275">
        <f t="shared" si="2"/>
        <v>-13300</v>
      </c>
    </row>
    <row r="31" spans="1:13" s="77" customFormat="1" ht="24.75" customHeight="1">
      <c r="A31" s="109">
        <v>25</v>
      </c>
      <c r="B31" s="252" t="s">
        <v>321</v>
      </c>
      <c r="C31" s="112" t="s">
        <v>8</v>
      </c>
      <c r="D31" s="76">
        <f>VLOOKUP(B31,LDKT!$B$5:$G$32,6,0)</f>
        <v>71595.125</v>
      </c>
      <c r="E31" s="76">
        <f>VLOOKUP(B31,Dcu!$A$6:$G$65,7,0)</f>
        <v>1992.9195804195801</v>
      </c>
      <c r="F31" s="76">
        <f>VLOOKUP(B31,VL!$B$5:$G$65,6,0)</f>
        <v>2719.6363636363635</v>
      </c>
      <c r="G31" s="75">
        <v>0</v>
      </c>
      <c r="H31" s="75">
        <f>VLOOKUP(B31,TB!$B$3:$I$490,8,0)</f>
        <v>5212.3054545454543</v>
      </c>
      <c r="I31" s="73">
        <f t="shared" si="0"/>
        <v>76307.680944055945</v>
      </c>
      <c r="J31" s="73">
        <f t="shared" si="3"/>
        <v>15261.536188811189</v>
      </c>
      <c r="K31" s="269">
        <f t="shared" si="4"/>
        <v>91600</v>
      </c>
      <c r="L31" s="274">
        <v>104900</v>
      </c>
      <c r="M31" s="275">
        <f t="shared" si="2"/>
        <v>-13300</v>
      </c>
    </row>
    <row r="32" spans="1:13" s="77" customFormat="1" ht="24.75" customHeight="1">
      <c r="A32" s="109">
        <v>26</v>
      </c>
      <c r="B32" s="252" t="s">
        <v>323</v>
      </c>
      <c r="C32" s="112" t="s">
        <v>231</v>
      </c>
      <c r="D32" s="76">
        <f>VLOOKUP(B32,LDKT!$B$5:$G$32,6,0)</f>
        <v>71595.125</v>
      </c>
      <c r="E32" s="76">
        <f>VLOOKUP(B32,Dcu!$A$6:$G$65,7,0)</f>
        <v>1992.9195804195801</v>
      </c>
      <c r="F32" s="76">
        <f>VLOOKUP(B32,VL!$B$5:$G$65,6,0)</f>
        <v>2719.6363636363635</v>
      </c>
      <c r="G32" s="75">
        <v>0</v>
      </c>
      <c r="H32" s="75">
        <f>VLOOKUP(B32,TB!$B$3:$I$490,8,0)</f>
        <v>5212.3054545454543</v>
      </c>
      <c r="I32" s="73">
        <f t="shared" si="0"/>
        <v>76307.680944055945</v>
      </c>
      <c r="J32" s="73">
        <f t="shared" si="3"/>
        <v>15261.536188811189</v>
      </c>
      <c r="K32" s="269">
        <f t="shared" si="4"/>
        <v>91600</v>
      </c>
      <c r="L32" s="274">
        <v>104900</v>
      </c>
      <c r="M32" s="275">
        <f t="shared" si="2"/>
        <v>-13300</v>
      </c>
    </row>
    <row r="33" spans="1:15" s="77" customFormat="1" ht="24.75" customHeight="1">
      <c r="A33" s="109">
        <v>27</v>
      </c>
      <c r="B33" s="252" t="s">
        <v>324</v>
      </c>
      <c r="C33" s="112" t="s">
        <v>9</v>
      </c>
      <c r="D33" s="76">
        <f>VLOOKUP(B33,LDKT!$B$5:$G$32,6,0)</f>
        <v>71595.125</v>
      </c>
      <c r="E33" s="76">
        <f>VLOOKUP(B33,Dcu!$A$6:$G$65,7,0)</f>
        <v>1992.9195804195801</v>
      </c>
      <c r="F33" s="76">
        <f>VLOOKUP(B33,VL!$B$5:$G$65,6,0)</f>
        <v>2719.6363636363635</v>
      </c>
      <c r="G33" s="75">
        <v>0</v>
      </c>
      <c r="H33" s="75">
        <f>VLOOKUP(B33,TB!$B$3:$I$490,8,0)</f>
        <v>5212.3054545454543</v>
      </c>
      <c r="I33" s="73">
        <f t="shared" si="0"/>
        <v>76307.680944055945</v>
      </c>
      <c r="J33" s="73">
        <f t="shared" si="3"/>
        <v>15261.536188811189</v>
      </c>
      <c r="K33" s="269">
        <f t="shared" si="4"/>
        <v>91600</v>
      </c>
      <c r="L33" s="274">
        <v>104900</v>
      </c>
      <c r="M33" s="275">
        <f t="shared" si="2"/>
        <v>-13300</v>
      </c>
    </row>
    <row r="34" spans="1:15" s="77" customFormat="1" ht="26.25" customHeight="1">
      <c r="A34" s="109">
        <v>28</v>
      </c>
      <c r="B34" s="252" t="s">
        <v>265</v>
      </c>
      <c r="C34" s="133" t="s">
        <v>143</v>
      </c>
      <c r="D34" s="76">
        <f>VLOOKUP(B34,LDKT!$B$5:$G$32,6,0)</f>
        <v>71595.125</v>
      </c>
      <c r="E34" s="76">
        <f>VLOOKUP(B34,Dcu!$A$6:$G$65,7,0)</f>
        <v>1992.9195804195801</v>
      </c>
      <c r="F34" s="76">
        <f>VLOOKUP(B34,VL!$B$5:$G$65,6,0)</f>
        <v>2719.6363636363635</v>
      </c>
      <c r="G34" s="75">
        <v>0</v>
      </c>
      <c r="H34" s="75">
        <f>VLOOKUP(B34,TB!$B$3:$I$490,8,0)</f>
        <v>5212.3054545454543</v>
      </c>
      <c r="I34" s="73">
        <f t="shared" si="0"/>
        <v>76307.680944055945</v>
      </c>
      <c r="J34" s="73">
        <f t="shared" si="3"/>
        <v>15261.536188811189</v>
      </c>
      <c r="K34" s="269">
        <f t="shared" si="4"/>
        <v>91600</v>
      </c>
      <c r="L34" s="274">
        <v>104900</v>
      </c>
      <c r="M34" s="275">
        <f t="shared" si="2"/>
        <v>-13300</v>
      </c>
    </row>
    <row r="35" spans="1:15" ht="18.75" customHeight="1">
      <c r="A35" s="69" t="s">
        <v>214</v>
      </c>
      <c r="B35" s="251" t="s">
        <v>315</v>
      </c>
      <c r="C35" s="70"/>
      <c r="D35" s="71"/>
      <c r="E35" s="72"/>
      <c r="F35" s="72"/>
      <c r="G35" s="72"/>
      <c r="H35" s="72"/>
      <c r="I35" s="73"/>
      <c r="J35" s="73"/>
      <c r="K35" s="269"/>
      <c r="L35" s="271"/>
      <c r="M35" s="275"/>
    </row>
    <row r="36" spans="1:15" ht="18.75" customHeight="1">
      <c r="A36" s="278" t="s">
        <v>446</v>
      </c>
      <c r="B36" s="295" t="s">
        <v>447</v>
      </c>
      <c r="C36" s="296"/>
      <c r="D36" s="296"/>
      <c r="E36" s="296"/>
      <c r="F36" s="296"/>
      <c r="G36" s="296"/>
      <c r="H36" s="296"/>
      <c r="I36" s="296"/>
      <c r="J36" s="296"/>
      <c r="K36" s="297"/>
      <c r="L36" s="270"/>
      <c r="M36" s="281"/>
      <c r="N36" s="279"/>
      <c r="O36" s="280"/>
    </row>
    <row r="37" spans="1:15" ht="18.75" customHeight="1">
      <c r="A37" s="74">
        <v>1</v>
      </c>
      <c r="B37" s="3" t="s">
        <v>318</v>
      </c>
      <c r="C37" s="78" t="s">
        <v>216</v>
      </c>
      <c r="D37" s="76">
        <f>VLOOKUP(B37,LDKT!$B$5:$G$416,6,0)</f>
        <v>83536.25</v>
      </c>
      <c r="E37" s="76">
        <f>VLOOKUP(B37,Dcu!$A$6:$G$359,7,0)</f>
        <v>9466.5069347319331</v>
      </c>
      <c r="F37" s="76">
        <f>VLOOKUP(B37,VL!$B$5:$G$377,6,0)</f>
        <v>10603.636363636364</v>
      </c>
      <c r="G37" s="75">
        <f>TB!I44</f>
        <v>4715.3054545454543</v>
      </c>
      <c r="H37" s="75">
        <f>VLOOKUP(B37,TB!$B$3:$I$490,8,0)</f>
        <v>11125.272727272726</v>
      </c>
      <c r="I37" s="73">
        <f t="shared" ref="I37:I64" si="9">D37+E37+F37+G37</f>
        <v>108321.69875291376</v>
      </c>
      <c r="J37" s="73">
        <f t="shared" ref="J37" si="10">I37*20%</f>
        <v>21664.339750582752</v>
      </c>
      <c r="K37" s="269">
        <f t="shared" si="4"/>
        <v>130000</v>
      </c>
      <c r="L37" s="274">
        <v>181900</v>
      </c>
      <c r="M37" s="275">
        <f t="shared" ref="M37:M64" si="11">K37-L37</f>
        <v>-51900</v>
      </c>
    </row>
    <row r="38" spans="1:15" ht="18.75" customHeight="1">
      <c r="A38" s="74">
        <v>2</v>
      </c>
      <c r="B38" s="3" t="s">
        <v>316</v>
      </c>
      <c r="C38" s="3" t="s">
        <v>218</v>
      </c>
      <c r="D38" s="76">
        <f>VLOOKUP(B38,LDKT!$B$5:$G$416,6,0)</f>
        <v>97419</v>
      </c>
      <c r="E38" s="76">
        <f>VLOOKUP(B38,Dcu!$A$6:$G$359,7,0)</f>
        <v>21352.068706293703</v>
      </c>
      <c r="F38" s="76">
        <f>VLOOKUP(B38,VL!$B$5:$G$377,6,0)</f>
        <v>17511.709090909095</v>
      </c>
      <c r="G38" s="75">
        <f>TB!I52</f>
        <v>6758.8272727272724</v>
      </c>
      <c r="H38" s="75">
        <f>VLOOKUP(B38,TB!$B$3:$I$490,8,0)</f>
        <v>25642.072727272724</v>
      </c>
      <c r="I38" s="73">
        <f t="shared" si="9"/>
        <v>143041.60506993008</v>
      </c>
      <c r="J38" s="73">
        <f t="shared" ref="J38:J64" si="12">I38*20%</f>
        <v>28608.321013986017</v>
      </c>
      <c r="K38" s="269">
        <f t="shared" si="4"/>
        <v>171600</v>
      </c>
      <c r="L38" s="274">
        <v>181900</v>
      </c>
      <c r="M38" s="275">
        <f t="shared" si="11"/>
        <v>-10300</v>
      </c>
    </row>
    <row r="39" spans="1:15" ht="18.75" customHeight="1">
      <c r="A39" s="74">
        <v>3</v>
      </c>
      <c r="B39" s="3" t="s">
        <v>317</v>
      </c>
      <c r="C39" s="79" t="s">
        <v>144</v>
      </c>
      <c r="D39" s="76">
        <f>VLOOKUP(B39,LDKT!$B$5:$G$416,6,0)</f>
        <v>248100</v>
      </c>
      <c r="E39" s="76">
        <f>VLOOKUP(B39,Dcu!$A$6:$G$359,7,0)</f>
        <v>30456.896491841493</v>
      </c>
      <c r="F39" s="76">
        <f>VLOOKUP(B39,VL!$B$5:$G$377,6,0)</f>
        <v>130407.05454545456</v>
      </c>
      <c r="G39" s="75">
        <f>TB!I62</f>
        <v>34253.63636363636</v>
      </c>
      <c r="H39" s="75">
        <f>VLOOKUP(B39,TB!$B$3:$I$490,8,0)</f>
        <v>36138</v>
      </c>
      <c r="I39" s="73">
        <f t="shared" si="9"/>
        <v>443217.58740093239</v>
      </c>
      <c r="J39" s="73">
        <f t="shared" si="12"/>
        <v>88643.517480186478</v>
      </c>
      <c r="K39" s="269">
        <f t="shared" si="4"/>
        <v>531900</v>
      </c>
      <c r="L39" s="274">
        <v>484900</v>
      </c>
      <c r="M39" s="275">
        <f t="shared" si="11"/>
        <v>47000</v>
      </c>
    </row>
    <row r="40" spans="1:15" ht="18.75" customHeight="1">
      <c r="A40" s="74">
        <v>4</v>
      </c>
      <c r="B40" s="3" t="s">
        <v>319</v>
      </c>
      <c r="C40" s="3" t="s">
        <v>5</v>
      </c>
      <c r="D40" s="76">
        <f>VLOOKUP(B40,LDKT!$B$5:$G$416,6,0)</f>
        <v>110734.5</v>
      </c>
      <c r="E40" s="76">
        <f>VLOOKUP(B40,Dcu!$A$6:$G$359,7,0)</f>
        <v>22492.491736596734</v>
      </c>
      <c r="F40" s="76">
        <f>VLOOKUP(B40,VL!$B$5:$G$377,6,0)</f>
        <v>56101.483636363628</v>
      </c>
      <c r="G40" s="75">
        <f>TB!I72</f>
        <v>10306.167272727273</v>
      </c>
      <c r="H40" s="75">
        <f>VLOOKUP(B40,TB!$B$3:$I$490,8,0)</f>
        <v>46444.167272727274</v>
      </c>
      <c r="I40" s="73">
        <f t="shared" si="9"/>
        <v>199634.64264568765</v>
      </c>
      <c r="J40" s="73">
        <f t="shared" si="12"/>
        <v>39926.928529137534</v>
      </c>
      <c r="K40" s="269">
        <f t="shared" si="4"/>
        <v>239600</v>
      </c>
      <c r="L40" s="274">
        <v>348800</v>
      </c>
      <c r="M40" s="275">
        <f t="shared" si="11"/>
        <v>-109200</v>
      </c>
    </row>
    <row r="41" spans="1:15" ht="18.75" customHeight="1">
      <c r="A41" s="74">
        <v>5</v>
      </c>
      <c r="B41" s="3" t="s">
        <v>229</v>
      </c>
      <c r="C41" s="3" t="s">
        <v>230</v>
      </c>
      <c r="D41" s="76">
        <f>VLOOKUP(B41,LDKT!$B$5:$G$416,6,0)</f>
        <v>110734.5</v>
      </c>
      <c r="E41" s="76">
        <f>VLOOKUP(B41,Dcu!$A$6:$G$359,7,0)</f>
        <v>22492.491736596734</v>
      </c>
      <c r="F41" s="76">
        <f>VLOOKUP(B41,VL!$B$5:$G$377,6,0)</f>
        <v>84554.181818181838</v>
      </c>
      <c r="G41" s="75">
        <f>TB!I82</f>
        <v>10306.167272727273</v>
      </c>
      <c r="H41" s="75">
        <f>VLOOKUP(B41,TB!$B$3:$I$490,8,0)</f>
        <v>46444.167272727274</v>
      </c>
      <c r="I41" s="73">
        <f t="shared" si="9"/>
        <v>228087.34082750583</v>
      </c>
      <c r="J41" s="73">
        <f t="shared" si="12"/>
        <v>45617.468165501166</v>
      </c>
      <c r="K41" s="269">
        <f t="shared" si="4"/>
        <v>273700</v>
      </c>
      <c r="L41" s="274">
        <v>253200</v>
      </c>
      <c r="M41" s="275">
        <f t="shared" si="11"/>
        <v>20500</v>
      </c>
    </row>
    <row r="42" spans="1:15" ht="18.75" customHeight="1">
      <c r="A42" s="74">
        <v>6</v>
      </c>
      <c r="B42" s="252" t="s">
        <v>413</v>
      </c>
      <c r="C42" s="112" t="s">
        <v>387</v>
      </c>
      <c r="D42" s="76">
        <f>VLOOKUP(B42,LDKT!$B$5:$G$416,6,0)</f>
        <v>206750</v>
      </c>
      <c r="E42" s="76">
        <f>VLOOKUP(B42,Dcu!$A$6:$G$359,7,0)</f>
        <v>24810.035233100229</v>
      </c>
      <c r="F42" s="76">
        <f>VLOOKUP(B42,VL!$B$5:$G$377,6,0)</f>
        <v>67549.090909090897</v>
      </c>
      <c r="G42" s="75">
        <f>TB!I94</f>
        <v>33585.272727272728</v>
      </c>
      <c r="H42" s="75">
        <f>VLOOKUP(B42,TB!$B$3:$I$490,8,0)</f>
        <v>102783.45454545453</v>
      </c>
      <c r="I42" s="73">
        <f t="shared" si="9"/>
        <v>332694.39886946382</v>
      </c>
      <c r="J42" s="73">
        <f t="shared" si="12"/>
        <v>66538.879773892768</v>
      </c>
      <c r="K42" s="269">
        <f t="shared" si="4"/>
        <v>399200</v>
      </c>
      <c r="L42" s="266">
        <v>529500</v>
      </c>
      <c r="M42" s="275">
        <f t="shared" si="11"/>
        <v>-130300</v>
      </c>
    </row>
    <row r="43" spans="1:15" ht="18.75" customHeight="1">
      <c r="A43" s="74">
        <v>7</v>
      </c>
      <c r="B43" s="252" t="s">
        <v>414</v>
      </c>
      <c r="C43" s="112" t="s">
        <v>386</v>
      </c>
      <c r="D43" s="76">
        <f>VLOOKUP(B43,LDKT!$B$5:$G$416,6,0)</f>
        <v>206750</v>
      </c>
      <c r="E43" s="76">
        <f>VLOOKUP(B43,Dcu!$A$6:$G$359,7,0)</f>
        <v>24810.035233100229</v>
      </c>
      <c r="F43" s="76">
        <f>VLOOKUP(B43,VL!$B$5:$G$377,6,0)</f>
        <v>67549.090909090897</v>
      </c>
      <c r="G43" s="75">
        <f>TB!I94</f>
        <v>33585.272727272728</v>
      </c>
      <c r="H43" s="75">
        <f>VLOOKUP(B43,TB!$B$3:$I$490,8,0)</f>
        <v>102783.45454545453</v>
      </c>
      <c r="I43" s="73">
        <f t="shared" si="9"/>
        <v>332694.39886946382</v>
      </c>
      <c r="J43" s="73">
        <f t="shared" ref="J43:J56" si="13">I43*20%</f>
        <v>66538.879773892768</v>
      </c>
      <c r="K43" s="269">
        <f t="shared" ref="K43:K56" si="14">ROUND((I43+J43), -2)</f>
        <v>399200</v>
      </c>
      <c r="L43" s="266">
        <v>529500</v>
      </c>
      <c r="M43" s="275">
        <f t="shared" si="11"/>
        <v>-130300</v>
      </c>
    </row>
    <row r="44" spans="1:15" ht="18.75" customHeight="1">
      <c r="A44" s="74">
        <v>8</v>
      </c>
      <c r="B44" s="3" t="s">
        <v>227</v>
      </c>
      <c r="C44" s="3" t="s">
        <v>343</v>
      </c>
      <c r="D44" s="76">
        <f>VLOOKUP(B44,LDKT!$B$5:$G$416,6,0)</f>
        <v>206750</v>
      </c>
      <c r="E44" s="76">
        <f>VLOOKUP(B44,Dcu!$A$6:$G$359,7,0)</f>
        <v>142616.22189976685</v>
      </c>
      <c r="F44" s="76">
        <f>VLOOKUP(B44,VL!$B$5:$G$377,6,0)</f>
        <v>64426.909090909081</v>
      </c>
      <c r="G44" s="75">
        <f>TB!I108</f>
        <v>48723.709090909084</v>
      </c>
      <c r="H44" s="75">
        <f>VLOOKUP(B44,TB!$B$3:$I$490,8,0)</f>
        <v>119437.99999999999</v>
      </c>
      <c r="I44" s="73">
        <f t="shared" si="9"/>
        <v>462516.84008158499</v>
      </c>
      <c r="J44" s="73">
        <f t="shared" si="13"/>
        <v>92503.368016317007</v>
      </c>
      <c r="K44" s="269">
        <f t="shared" si="14"/>
        <v>555000</v>
      </c>
      <c r="L44" s="274">
        <v>591600</v>
      </c>
      <c r="M44" s="275">
        <f t="shared" si="11"/>
        <v>-36600</v>
      </c>
    </row>
    <row r="45" spans="1:15" ht="18.75" customHeight="1">
      <c r="A45" s="74">
        <v>9</v>
      </c>
      <c r="B45" s="3" t="s">
        <v>243</v>
      </c>
      <c r="C45" s="3" t="s">
        <v>240</v>
      </c>
      <c r="D45" s="76">
        <f>VLOOKUP(B45,LDKT!$B$5:$G$416,6,0)</f>
        <v>206750</v>
      </c>
      <c r="E45" s="76">
        <f>VLOOKUP(B45,Dcu!$A$6:$G$359,7,0)</f>
        <v>140032.83029137523</v>
      </c>
      <c r="F45" s="76">
        <f>VLOOKUP(B45,VL!$B$5:$G$377,6,0)</f>
        <v>69463.636363636353</v>
      </c>
      <c r="G45" s="75">
        <f>TB!I121</f>
        <v>31513.345454545452</v>
      </c>
      <c r="H45" s="75">
        <f>VLOOKUP(B45,TB!$B$3:$I$490,8,0)</f>
        <v>119437.99999999999</v>
      </c>
      <c r="I45" s="73">
        <f t="shared" si="9"/>
        <v>447759.81210955704</v>
      </c>
      <c r="J45" s="73">
        <f t="shared" si="13"/>
        <v>89551.962421911419</v>
      </c>
      <c r="K45" s="269">
        <f t="shared" si="14"/>
        <v>537300</v>
      </c>
      <c r="L45" s="274">
        <v>602600</v>
      </c>
      <c r="M45" s="275">
        <f t="shared" si="11"/>
        <v>-65300</v>
      </c>
    </row>
    <row r="46" spans="1:15" ht="18.75" customHeight="1">
      <c r="A46" s="74">
        <v>10</v>
      </c>
      <c r="B46" s="252" t="s">
        <v>415</v>
      </c>
      <c r="C46" s="112" t="s">
        <v>390</v>
      </c>
      <c r="D46" s="76">
        <f>VLOOKUP(B46,LDKT!$B$5:$G$416,6,0)</f>
        <v>129190.24999999999</v>
      </c>
      <c r="E46" s="76">
        <f>VLOOKUP(B46,Dcu!$A$6:$G$359,7,0)</f>
        <v>42325.124324009339</v>
      </c>
      <c r="F46" s="76">
        <f>VLOOKUP(B46,VL!$B$5:$G$377,6,0)</f>
        <v>47421.818181818177</v>
      </c>
      <c r="G46" s="75">
        <f>G45</f>
        <v>31513.345454545452</v>
      </c>
      <c r="H46" s="75">
        <f>VLOOKUP(B46,TB!$B$3:$I$490,8,0)</f>
        <v>102783.45454545453</v>
      </c>
      <c r="I46" s="73">
        <f t="shared" si="9"/>
        <v>250450.53796037295</v>
      </c>
      <c r="J46" s="73">
        <f t="shared" si="13"/>
        <v>50090.107592074593</v>
      </c>
      <c r="K46" s="269">
        <f t="shared" si="14"/>
        <v>300500</v>
      </c>
      <c r="L46" s="274">
        <v>426500</v>
      </c>
      <c r="M46" s="275">
        <f t="shared" si="11"/>
        <v>-126000</v>
      </c>
    </row>
    <row r="47" spans="1:15" ht="18.75" customHeight="1">
      <c r="A47" s="74">
        <v>11</v>
      </c>
      <c r="B47" s="252" t="s">
        <v>416</v>
      </c>
      <c r="C47" s="112" t="s">
        <v>397</v>
      </c>
      <c r="D47" s="76">
        <f>VLOOKUP(B47,LDKT!$B$5:$G$416,6,0)</f>
        <v>129190.24999999999</v>
      </c>
      <c r="E47" s="76">
        <f>VLOOKUP(B47,Dcu!$A$6:$G$359,7,0)</f>
        <v>42325.124324009339</v>
      </c>
      <c r="F47" s="76">
        <f>VLOOKUP(B47,VL!$B$5:$G$377,6,0)</f>
        <v>47421.818181818177</v>
      </c>
      <c r="G47" s="75">
        <f>G45</f>
        <v>31513.345454545452</v>
      </c>
      <c r="H47" s="75">
        <f>VLOOKUP(B47,TB!$B$3:$I$490,8,0)</f>
        <v>102783.45454545453</v>
      </c>
      <c r="I47" s="73">
        <f t="shared" si="9"/>
        <v>250450.53796037295</v>
      </c>
      <c r="J47" s="73">
        <f t="shared" si="13"/>
        <v>50090.107592074593</v>
      </c>
      <c r="K47" s="269">
        <f t="shared" si="14"/>
        <v>300500</v>
      </c>
      <c r="L47" s="274">
        <v>426500</v>
      </c>
      <c r="M47" s="275">
        <f t="shared" si="11"/>
        <v>-126000</v>
      </c>
    </row>
    <row r="48" spans="1:15" ht="18.75" customHeight="1">
      <c r="A48" s="74">
        <v>12</v>
      </c>
      <c r="B48" s="252" t="s">
        <v>417</v>
      </c>
      <c r="C48" s="112" t="s">
        <v>398</v>
      </c>
      <c r="D48" s="76">
        <f>VLOOKUP(B48,LDKT!$B$5:$G$416,6,0)</f>
        <v>129190.24999999999</v>
      </c>
      <c r="E48" s="76">
        <f>VLOOKUP(B48,Dcu!$A$6:$G$359,7,0)</f>
        <v>42325.124324009339</v>
      </c>
      <c r="F48" s="76">
        <f>VLOOKUP(B48,VL!$B$5:$G$377,6,0)</f>
        <v>47421.818181818177</v>
      </c>
      <c r="G48" s="75">
        <f>G45</f>
        <v>31513.345454545452</v>
      </c>
      <c r="H48" s="75">
        <f>VLOOKUP(B48,TB!$B$3:$I$490,8,0)</f>
        <v>102783.45454545453</v>
      </c>
      <c r="I48" s="73">
        <f t="shared" si="9"/>
        <v>250450.53796037295</v>
      </c>
      <c r="J48" s="73">
        <f t="shared" si="13"/>
        <v>50090.107592074593</v>
      </c>
      <c r="K48" s="269">
        <f t="shared" si="14"/>
        <v>300500</v>
      </c>
      <c r="L48" s="274">
        <v>426500</v>
      </c>
      <c r="M48" s="275">
        <f t="shared" si="11"/>
        <v>-126000</v>
      </c>
    </row>
    <row r="49" spans="1:13" ht="18.75" customHeight="1">
      <c r="A49" s="74">
        <v>13</v>
      </c>
      <c r="B49" s="252" t="s">
        <v>418</v>
      </c>
      <c r="C49" s="112" t="s">
        <v>405</v>
      </c>
      <c r="D49" s="76">
        <f>VLOOKUP(B49,LDKT!$B$5:$G$416,6,0)</f>
        <v>129190.24999999999</v>
      </c>
      <c r="E49" s="76">
        <f>VLOOKUP(B49,Dcu!$A$6:$G$359,7,0)</f>
        <v>42325.124324009339</v>
      </c>
      <c r="F49" s="76">
        <f>VLOOKUP(B49,VL!$B$5:$G$377,6,0)</f>
        <v>47421.818181818177</v>
      </c>
      <c r="G49" s="75">
        <f>G45</f>
        <v>31513.345454545452</v>
      </c>
      <c r="H49" s="75">
        <f>VLOOKUP(B49,TB!$B$3:$I$490,8,0)</f>
        <v>102783.45454545453</v>
      </c>
      <c r="I49" s="73">
        <f t="shared" si="9"/>
        <v>250450.53796037295</v>
      </c>
      <c r="J49" s="73">
        <f t="shared" si="13"/>
        <v>50090.107592074593</v>
      </c>
      <c r="K49" s="269">
        <f t="shared" si="14"/>
        <v>300500</v>
      </c>
      <c r="L49" s="274">
        <v>426500</v>
      </c>
      <c r="M49" s="275">
        <f t="shared" si="11"/>
        <v>-126000</v>
      </c>
    </row>
    <row r="50" spans="1:13" ht="18.75" customHeight="1">
      <c r="A50" s="74">
        <v>14</v>
      </c>
      <c r="B50" s="252" t="s">
        <v>419</v>
      </c>
      <c r="C50" s="112" t="s">
        <v>399</v>
      </c>
      <c r="D50" s="76">
        <f>VLOOKUP(B50,LDKT!$B$5:$G$416,6,0)</f>
        <v>129190.24999999999</v>
      </c>
      <c r="E50" s="76">
        <f>VLOOKUP(B50,Dcu!$A$6:$G$359,7,0)</f>
        <v>42325.124324009339</v>
      </c>
      <c r="F50" s="76">
        <f>VLOOKUP(B50,VL!$B$5:$G$377,6,0)</f>
        <v>47421.818181818177</v>
      </c>
      <c r="G50" s="75">
        <f>G45</f>
        <v>31513.345454545452</v>
      </c>
      <c r="H50" s="75">
        <f>VLOOKUP(B50,TB!$B$3:$I$490,8,0)</f>
        <v>102783.45454545453</v>
      </c>
      <c r="I50" s="73">
        <f t="shared" si="9"/>
        <v>250450.53796037295</v>
      </c>
      <c r="J50" s="73">
        <f t="shared" si="13"/>
        <v>50090.107592074593</v>
      </c>
      <c r="K50" s="269">
        <f t="shared" si="14"/>
        <v>300500</v>
      </c>
      <c r="L50" s="274">
        <v>426500</v>
      </c>
      <c r="M50" s="275">
        <f t="shared" si="11"/>
        <v>-126000</v>
      </c>
    </row>
    <row r="51" spans="1:13" ht="18.75" customHeight="1">
      <c r="A51" s="74">
        <v>15</v>
      </c>
      <c r="B51" s="252" t="s">
        <v>420</v>
      </c>
      <c r="C51" s="112" t="s">
        <v>401</v>
      </c>
      <c r="D51" s="76">
        <f>VLOOKUP(B51,LDKT!$B$5:$G$416,6,0)</f>
        <v>129190.24999999999</v>
      </c>
      <c r="E51" s="76">
        <f>VLOOKUP(B51,Dcu!$A$6:$G$359,7,0)</f>
        <v>42325.124324009339</v>
      </c>
      <c r="F51" s="76">
        <f>VLOOKUP(B51,VL!$B$5:$G$377,6,0)</f>
        <v>47421.818181818177</v>
      </c>
      <c r="G51" s="75">
        <f>G45</f>
        <v>31513.345454545452</v>
      </c>
      <c r="H51" s="75">
        <f>VLOOKUP(B51,TB!$B$3:$I$490,8,0)</f>
        <v>102783.45454545453</v>
      </c>
      <c r="I51" s="73">
        <f t="shared" si="9"/>
        <v>250450.53796037295</v>
      </c>
      <c r="J51" s="73">
        <f t="shared" si="13"/>
        <v>50090.107592074593</v>
      </c>
      <c r="K51" s="269">
        <f t="shared" si="14"/>
        <v>300500</v>
      </c>
      <c r="L51" s="274">
        <v>529500</v>
      </c>
      <c r="M51" s="275">
        <f t="shared" si="11"/>
        <v>-229000</v>
      </c>
    </row>
    <row r="52" spans="1:13" ht="18.75" customHeight="1">
      <c r="A52" s="74">
        <v>16</v>
      </c>
      <c r="B52" s="252" t="s">
        <v>421</v>
      </c>
      <c r="C52" s="112" t="s">
        <v>400</v>
      </c>
      <c r="D52" s="76">
        <f>VLOOKUP(B52,LDKT!$B$5:$G$416,6,0)</f>
        <v>129190.24999999999</v>
      </c>
      <c r="E52" s="76">
        <f>VLOOKUP(B52,Dcu!$A$6:$G$359,7,0)</f>
        <v>42325.124324009339</v>
      </c>
      <c r="F52" s="76">
        <f>VLOOKUP(B52,VL!$B$5:$G$377,6,0)</f>
        <v>47421.818181818177</v>
      </c>
      <c r="G52" s="75">
        <f>G46</f>
        <v>31513.345454545452</v>
      </c>
      <c r="H52" s="75">
        <f>VLOOKUP(B52,TB!$B$3:$I$490,8,0)</f>
        <v>102783.45454545453</v>
      </c>
      <c r="I52" s="73">
        <f t="shared" si="9"/>
        <v>250450.53796037295</v>
      </c>
      <c r="J52" s="73">
        <f t="shared" si="13"/>
        <v>50090.107592074593</v>
      </c>
      <c r="K52" s="269">
        <f t="shared" si="14"/>
        <v>300500</v>
      </c>
      <c r="L52" s="274">
        <v>426500</v>
      </c>
      <c r="M52" s="275">
        <f t="shared" si="11"/>
        <v>-126000</v>
      </c>
    </row>
    <row r="53" spans="1:13" ht="18.75" customHeight="1">
      <c r="A53" s="74">
        <v>17</v>
      </c>
      <c r="B53" s="252" t="s">
        <v>422</v>
      </c>
      <c r="C53" s="112" t="s">
        <v>402</v>
      </c>
      <c r="D53" s="76">
        <f>VLOOKUP(B53,LDKT!$B$5:$G$416,6,0)</f>
        <v>129190.24999999999</v>
      </c>
      <c r="E53" s="76">
        <f>VLOOKUP(B53,Dcu!$A$6:$G$359,7,0)</f>
        <v>42325.124324009339</v>
      </c>
      <c r="F53" s="76">
        <f>VLOOKUP(B53,VL!$B$5:$G$377,6,0)</f>
        <v>47421.818181818177</v>
      </c>
      <c r="G53" s="75">
        <f>G46</f>
        <v>31513.345454545452</v>
      </c>
      <c r="H53" s="75">
        <f>VLOOKUP(B53,TB!$B$3:$I$490,8,0)</f>
        <v>102783.45454545453</v>
      </c>
      <c r="I53" s="73">
        <f t="shared" si="9"/>
        <v>250450.53796037295</v>
      </c>
      <c r="J53" s="73">
        <f t="shared" si="13"/>
        <v>50090.107592074593</v>
      </c>
      <c r="K53" s="269">
        <f t="shared" si="14"/>
        <v>300500</v>
      </c>
      <c r="L53" s="274">
        <v>591600</v>
      </c>
      <c r="M53" s="275">
        <f t="shared" si="11"/>
        <v>-291100</v>
      </c>
    </row>
    <row r="54" spans="1:13" ht="18.75" customHeight="1">
      <c r="A54" s="74">
        <v>18</v>
      </c>
      <c r="B54" s="252" t="s">
        <v>423</v>
      </c>
      <c r="C54" s="112" t="s">
        <v>403</v>
      </c>
      <c r="D54" s="76">
        <f>VLOOKUP(B54,LDKT!$B$5:$G$416,6,0)</f>
        <v>129190.24999999999</v>
      </c>
      <c r="E54" s="76">
        <f>VLOOKUP(B54,Dcu!$A$6:$G$359,7,0)</f>
        <v>42325.124324009339</v>
      </c>
      <c r="F54" s="76">
        <f>VLOOKUP(B54,VL!$B$5:$G$377,6,0)</f>
        <v>47421.818181818177</v>
      </c>
      <c r="G54" s="75">
        <f>G48</f>
        <v>31513.345454545452</v>
      </c>
      <c r="H54" s="75">
        <f>VLOOKUP(B54,TB!$B$3:$I$490,8,0)</f>
        <v>102783.45454545453</v>
      </c>
      <c r="I54" s="73">
        <f t="shared" si="9"/>
        <v>250450.53796037295</v>
      </c>
      <c r="J54" s="73">
        <f t="shared" si="13"/>
        <v>50090.107592074593</v>
      </c>
      <c r="K54" s="269">
        <f t="shared" si="14"/>
        <v>300500</v>
      </c>
      <c r="L54" s="274">
        <v>426500</v>
      </c>
      <c r="M54" s="275">
        <f t="shared" si="11"/>
        <v>-126000</v>
      </c>
    </row>
    <row r="55" spans="1:13" ht="18.75" customHeight="1">
      <c r="A55" s="74">
        <v>19</v>
      </c>
      <c r="B55" s="252" t="s">
        <v>424</v>
      </c>
      <c r="C55" s="112" t="s">
        <v>404</v>
      </c>
      <c r="D55" s="76">
        <f>VLOOKUP(B55,LDKT!$B$5:$G$416,6,0)</f>
        <v>129190.24999999999</v>
      </c>
      <c r="E55" s="76">
        <f>VLOOKUP(B55,Dcu!$A$6:$G$359,7,0)</f>
        <v>42325.124324009339</v>
      </c>
      <c r="F55" s="76">
        <f>VLOOKUP(B55,VL!$B$5:$G$377,6,0)</f>
        <v>47421.818181818177</v>
      </c>
      <c r="G55" s="75">
        <f>G49</f>
        <v>31513.345454545452</v>
      </c>
      <c r="H55" s="75">
        <f>VLOOKUP(B55,TB!$B$3:$I$490,8,0)</f>
        <v>102783.45454545453</v>
      </c>
      <c r="I55" s="73">
        <f t="shared" si="9"/>
        <v>250450.53796037295</v>
      </c>
      <c r="J55" s="73">
        <f t="shared" si="13"/>
        <v>50090.107592074593</v>
      </c>
      <c r="K55" s="269">
        <f t="shared" si="14"/>
        <v>300500</v>
      </c>
      <c r="L55" s="274">
        <v>426500</v>
      </c>
      <c r="M55" s="275">
        <f t="shared" si="11"/>
        <v>-126000</v>
      </c>
    </row>
    <row r="56" spans="1:13" ht="18.75" customHeight="1">
      <c r="A56" s="74">
        <v>20</v>
      </c>
      <c r="B56" s="252" t="s">
        <v>432</v>
      </c>
      <c r="C56" s="112" t="s">
        <v>406</v>
      </c>
      <c r="D56" s="76">
        <f>VLOOKUP(B56,LDKT!$B$5:$G$416,6,0)</f>
        <v>129190.24999999999</v>
      </c>
      <c r="E56" s="76">
        <f>VLOOKUP(B56,Dcu!$A$6:$G$359,7,0)</f>
        <v>42325.124324009339</v>
      </c>
      <c r="F56" s="76">
        <f>VLOOKUP(B56,VL!$B$5:$G$377,6,0)</f>
        <v>47421.818181818177</v>
      </c>
      <c r="G56" s="75">
        <f>G50</f>
        <v>31513.345454545452</v>
      </c>
      <c r="H56" s="75">
        <f>VLOOKUP(B56,TB!$B$3:$I$490,8,0)</f>
        <v>102783.45454545453</v>
      </c>
      <c r="I56" s="73">
        <f t="shared" si="9"/>
        <v>250450.53796037295</v>
      </c>
      <c r="J56" s="73">
        <f t="shared" si="13"/>
        <v>50090.107592074593</v>
      </c>
      <c r="K56" s="269">
        <f t="shared" si="14"/>
        <v>300500</v>
      </c>
      <c r="L56" s="274">
        <v>426500</v>
      </c>
      <c r="M56" s="275">
        <f t="shared" si="11"/>
        <v>-126000</v>
      </c>
    </row>
    <row r="57" spans="1:13" ht="18.75" customHeight="1">
      <c r="A57" s="74">
        <v>21</v>
      </c>
      <c r="B57" s="252" t="s">
        <v>425</v>
      </c>
      <c r="C57" s="112" t="s">
        <v>433</v>
      </c>
      <c r="D57" s="76">
        <f>VLOOKUP(B57,LDKT!$B$5:$G$416,6,0)</f>
        <v>129190.24999999999</v>
      </c>
      <c r="E57" s="76">
        <f>VLOOKUP(B57,Dcu!$A$6:$G$359,7,0)</f>
        <v>42325.124324009339</v>
      </c>
      <c r="F57" s="76">
        <f>VLOOKUP(B57,VL!$B$5:$G$377,6,0)</f>
        <v>47421.818181818177</v>
      </c>
      <c r="G57" s="75">
        <f>G51</f>
        <v>31513.345454545452</v>
      </c>
      <c r="H57" s="75">
        <f>VLOOKUP(B57,TB!$B$3:$I$490,8,0)</f>
        <v>102783.45454545453</v>
      </c>
      <c r="I57" s="73">
        <f t="shared" si="9"/>
        <v>250450.53796037295</v>
      </c>
      <c r="J57" s="73">
        <f t="shared" ref="J57" si="15">I57*20%</f>
        <v>50090.107592074593</v>
      </c>
      <c r="K57" s="269">
        <f t="shared" ref="K57" si="16">ROUND((I57+J57), -2)</f>
        <v>300500</v>
      </c>
      <c r="L57" s="274">
        <v>426500</v>
      </c>
      <c r="M57" s="275">
        <f t="shared" si="11"/>
        <v>-126000</v>
      </c>
    </row>
    <row r="58" spans="1:13" ht="18.75" customHeight="1">
      <c r="A58" s="74">
        <v>22</v>
      </c>
      <c r="B58" s="3" t="s">
        <v>217</v>
      </c>
      <c r="C58" s="3" t="s">
        <v>4</v>
      </c>
      <c r="D58" s="76">
        <f>VLOOKUP(B58,LDKT!$B$5:$G$416,6,0)</f>
        <v>248100</v>
      </c>
      <c r="E58" s="76">
        <f>VLOOKUP(B58,Dcu!$A$6:$G$359,7,0)</f>
        <v>44893.894300699329</v>
      </c>
      <c r="F58" s="76">
        <f>VLOOKUP(B58,VL!$B$5:$G$377,6,0)</f>
        <v>204960.43636363634</v>
      </c>
      <c r="G58" s="75">
        <f>TB!I141</f>
        <v>45532.272727272721</v>
      </c>
      <c r="H58" s="75">
        <f>VLOOKUP(B58,TB!$B$3:$I$490,8,0)</f>
        <v>32474.363636363636</v>
      </c>
      <c r="I58" s="73">
        <f t="shared" si="9"/>
        <v>543486.60339160846</v>
      </c>
      <c r="J58" s="73">
        <f t="shared" si="12"/>
        <v>108697.3206783217</v>
      </c>
      <c r="K58" s="269">
        <f t="shared" si="4"/>
        <v>652200</v>
      </c>
      <c r="L58" s="274">
        <v>842300</v>
      </c>
      <c r="M58" s="275">
        <f t="shared" si="11"/>
        <v>-190100</v>
      </c>
    </row>
    <row r="59" spans="1:13" ht="19.5" customHeight="1">
      <c r="A59" s="74">
        <v>23</v>
      </c>
      <c r="B59" s="3" t="s">
        <v>320</v>
      </c>
      <c r="C59" s="3" t="s">
        <v>6</v>
      </c>
      <c r="D59" s="76">
        <f>VLOOKUP(B59,LDKT!$B$5:$G$416,6,0)</f>
        <v>248100</v>
      </c>
      <c r="E59" s="76">
        <f>VLOOKUP(B59,Dcu!$A$6:$G$359,7,0)</f>
        <v>49898.825396270411</v>
      </c>
      <c r="F59" s="76">
        <f>VLOOKUP(B59,VL!$B$5:$G$377,6,0)</f>
        <v>137523.27272727274</v>
      </c>
      <c r="G59" s="75">
        <f>TB!I151</f>
        <v>25230.727272727268</v>
      </c>
      <c r="H59" s="75">
        <f>VLOOKUP(B59,TB!$B$3:$I$490,8,0)</f>
        <v>36138</v>
      </c>
      <c r="I59" s="73">
        <f t="shared" si="9"/>
        <v>460752.82539627049</v>
      </c>
      <c r="J59" s="73">
        <f t="shared" si="12"/>
        <v>92150.565079254098</v>
      </c>
      <c r="K59" s="269">
        <f t="shared" si="4"/>
        <v>552900</v>
      </c>
      <c r="L59" s="274">
        <v>700000</v>
      </c>
      <c r="M59" s="275">
        <f t="shared" si="11"/>
        <v>-147100</v>
      </c>
    </row>
    <row r="60" spans="1:13" ht="18.75" customHeight="1">
      <c r="A60" s="74">
        <v>24</v>
      </c>
      <c r="B60" s="3" t="s">
        <v>326</v>
      </c>
      <c r="C60" s="8" t="s">
        <v>7</v>
      </c>
      <c r="D60" s="76">
        <f>VLOOKUP(B60,LDKT!$B$5:$G$416,6,0)</f>
        <v>413500</v>
      </c>
      <c r="E60" s="76">
        <f>VLOOKUP(B60,Dcu!$A$6:$G$359,7,0)</f>
        <v>152282.05529137526</v>
      </c>
      <c r="F60" s="76">
        <f>VLOOKUP(B60,VL!$B$5:$G$377,6,0)</f>
        <v>996059.45454545447</v>
      </c>
      <c r="G60" s="75">
        <f>TB!I166</f>
        <v>67638.399999999994</v>
      </c>
      <c r="H60" s="75">
        <f>VLOOKUP(B60,TB!$B$3:$I$490,8,0)</f>
        <v>118822.94545454544</v>
      </c>
      <c r="I60" s="73">
        <f t="shared" si="9"/>
        <v>1629479.9098368296</v>
      </c>
      <c r="J60" s="73">
        <f t="shared" si="12"/>
        <v>325895.98196736595</v>
      </c>
      <c r="K60" s="269">
        <f t="shared" si="4"/>
        <v>1955400</v>
      </c>
      <c r="L60" s="274">
        <v>2362000</v>
      </c>
      <c r="M60" s="275">
        <f t="shared" si="11"/>
        <v>-406600</v>
      </c>
    </row>
    <row r="61" spans="1:13" ht="23.25" customHeight="1">
      <c r="A61" s="74">
        <v>25</v>
      </c>
      <c r="B61" s="3" t="s">
        <v>325</v>
      </c>
      <c r="C61" s="8" t="s">
        <v>8</v>
      </c>
      <c r="D61" s="76">
        <f>VLOOKUP(B61,LDKT!$B$5:$G$416,6,0)</f>
        <v>413500</v>
      </c>
      <c r="E61" s="76">
        <f>VLOOKUP(B61,Dcu!$A$6:$G$453,7,0)</f>
        <v>152106.16805361302</v>
      </c>
      <c r="F61" s="76">
        <f>VLOOKUP(B61,VL!$B$5:$G$377,6,0)</f>
        <v>982823.5636363636</v>
      </c>
      <c r="G61" s="75">
        <f>TB!I166</f>
        <v>67638.399999999994</v>
      </c>
      <c r="H61" s="75">
        <f>VLOOKUP(B61,TB!$B$3:$I$490,8,0)</f>
        <v>118822.94545454544</v>
      </c>
      <c r="I61" s="73">
        <f t="shared" si="9"/>
        <v>1616068.1316899764</v>
      </c>
      <c r="J61" s="73">
        <f t="shared" si="12"/>
        <v>323213.62633799529</v>
      </c>
      <c r="K61" s="269">
        <f t="shared" si="4"/>
        <v>1939300</v>
      </c>
      <c r="L61" s="274">
        <v>2570700</v>
      </c>
      <c r="M61" s="275">
        <f t="shared" si="11"/>
        <v>-631400</v>
      </c>
    </row>
    <row r="62" spans="1:13" ht="18.75" customHeight="1">
      <c r="A62" s="74">
        <v>26</v>
      </c>
      <c r="B62" s="3" t="s">
        <v>327</v>
      </c>
      <c r="C62" s="8" t="s">
        <v>231</v>
      </c>
      <c r="D62" s="76">
        <f>VLOOKUP(B62,LDKT!$B$5:$G$416,6,0)</f>
        <v>457885</v>
      </c>
      <c r="E62" s="76">
        <f>VLOOKUP(B62,Dcu!$A$6:$G$453,7,0)</f>
        <v>152106.16805361302</v>
      </c>
      <c r="F62" s="76">
        <f>VLOOKUP(B62,VL!$B$5:$G$377,6,0)</f>
        <v>1424641.7454545458</v>
      </c>
      <c r="G62" s="75">
        <f>TB!I166</f>
        <v>67638.399999999994</v>
      </c>
      <c r="H62" s="75">
        <f>VLOOKUP(B62,TB!$B$3:$I$490,8,0)</f>
        <v>118822.94545454544</v>
      </c>
      <c r="I62" s="73">
        <f t="shared" si="9"/>
        <v>2102271.313508159</v>
      </c>
      <c r="J62" s="73">
        <f t="shared" si="12"/>
        <v>420454.26270163181</v>
      </c>
      <c r="K62" s="269">
        <f t="shared" si="4"/>
        <v>2522700</v>
      </c>
      <c r="L62" s="274">
        <v>2570700</v>
      </c>
      <c r="M62" s="275">
        <f t="shared" si="11"/>
        <v>-48000</v>
      </c>
    </row>
    <row r="63" spans="1:13" ht="18.75" customHeight="1">
      <c r="A63" s="74">
        <v>27</v>
      </c>
      <c r="B63" s="3" t="s">
        <v>328</v>
      </c>
      <c r="C63" s="3" t="s">
        <v>9</v>
      </c>
      <c r="D63" s="76">
        <f>VLOOKUP(B63,LDKT!$B$5:$G$416,6,0)</f>
        <v>413500</v>
      </c>
      <c r="E63" s="76">
        <f>VLOOKUP(B63,Dcu!$A$6:$G$453,7,0)</f>
        <v>152282.05529137526</v>
      </c>
      <c r="F63" s="76">
        <f>VLOOKUP(B63,VL!$B$5:$G$377,6,0)</f>
        <v>1424641.7454545458</v>
      </c>
      <c r="G63" s="75">
        <f>TB!I166</f>
        <v>67638.399999999994</v>
      </c>
      <c r="H63" s="75">
        <f>VLOOKUP(B63,TB!$B$3:$I$490,8,0)</f>
        <v>118822.94545454544</v>
      </c>
      <c r="I63" s="73">
        <f t="shared" si="9"/>
        <v>2058062.2007459211</v>
      </c>
      <c r="J63" s="73">
        <f t="shared" si="12"/>
        <v>411612.44014918426</v>
      </c>
      <c r="K63" s="269">
        <f t="shared" si="4"/>
        <v>2469700</v>
      </c>
      <c r="L63" s="274">
        <v>2570700</v>
      </c>
      <c r="M63" s="275">
        <f t="shared" si="11"/>
        <v>-101000</v>
      </c>
    </row>
    <row r="64" spans="1:13" ht="33.75" customHeight="1">
      <c r="A64" s="74">
        <v>28</v>
      </c>
      <c r="B64" s="253" t="s">
        <v>329</v>
      </c>
      <c r="C64" s="79" t="s">
        <v>364</v>
      </c>
      <c r="D64" s="76">
        <f>VLOOKUP(B64,LDKT!$B$5:$G$416,6,0)</f>
        <v>228942.5</v>
      </c>
      <c r="E64" s="76">
        <f>VLOOKUP(B64,Dcu!$A$6:$G$453,7,0)</f>
        <v>27953.774766899758</v>
      </c>
      <c r="F64" s="76">
        <f>VLOOKUP(B64,VL!$B$5:$G$377,6,0)</f>
        <v>749029.09090909071</v>
      </c>
      <c r="G64" s="75">
        <f>TB!I182</f>
        <v>93153.181818181809</v>
      </c>
      <c r="H64" s="75">
        <f>VLOOKUP(B64,TB!$B$3:$I$490,8,0)</f>
        <v>98582.727272727265</v>
      </c>
      <c r="I64" s="73">
        <f t="shared" si="9"/>
        <v>1099078.5474941724</v>
      </c>
      <c r="J64" s="73">
        <f t="shared" si="12"/>
        <v>219815.70949883448</v>
      </c>
      <c r="K64" s="276">
        <f t="shared" si="4"/>
        <v>1318900</v>
      </c>
      <c r="L64" s="274">
        <v>1194600</v>
      </c>
      <c r="M64" s="275">
        <f t="shared" si="11"/>
        <v>124300</v>
      </c>
    </row>
    <row r="65" spans="1:13" ht="27.75" customHeight="1">
      <c r="A65" s="290" t="s">
        <v>448</v>
      </c>
      <c r="B65" s="295" t="s">
        <v>449</v>
      </c>
      <c r="C65" s="296"/>
      <c r="D65" s="296"/>
      <c r="E65" s="296"/>
      <c r="F65" s="296"/>
      <c r="G65" s="296"/>
      <c r="H65" s="296"/>
      <c r="I65" s="296"/>
      <c r="J65" s="296"/>
      <c r="K65" s="297"/>
      <c r="L65" s="274"/>
      <c r="M65" s="275"/>
    </row>
    <row r="66" spans="1:13" ht="33.75" customHeight="1">
      <c r="A66" s="74">
        <v>1</v>
      </c>
      <c r="B66" s="3" t="s">
        <v>319</v>
      </c>
      <c r="C66" s="3" t="s">
        <v>5</v>
      </c>
      <c r="D66" s="76">
        <f t="shared" ref="D66:I79" si="17">D40*1.2</f>
        <v>132881.4</v>
      </c>
      <c r="E66" s="76">
        <f t="shared" si="17"/>
        <v>26990.99008391608</v>
      </c>
      <c r="F66" s="76">
        <f t="shared" si="17"/>
        <v>67321.780363636353</v>
      </c>
      <c r="G66" s="76">
        <f t="shared" si="17"/>
        <v>12367.400727272727</v>
      </c>
      <c r="H66" s="76">
        <f t="shared" si="17"/>
        <v>55733.000727272731</v>
      </c>
      <c r="I66" s="76">
        <f t="shared" si="17"/>
        <v>239561.57117482516</v>
      </c>
      <c r="J66" s="73">
        <f t="shared" ref="J66:J90" si="18">I66*20%</f>
        <v>47912.314234965037</v>
      </c>
      <c r="K66" s="269">
        <f t="shared" ref="K66:K90" si="19">ROUND((I66+J66), -2)</f>
        <v>287500</v>
      </c>
      <c r="L66" s="274">
        <v>348800</v>
      </c>
      <c r="M66" s="275">
        <f t="shared" ref="M66:M90" si="20">K66-L66</f>
        <v>-61300</v>
      </c>
    </row>
    <row r="67" spans="1:13" ht="33.75" customHeight="1">
      <c r="A67" s="74">
        <v>2</v>
      </c>
      <c r="B67" s="3" t="s">
        <v>229</v>
      </c>
      <c r="C67" s="3" t="s">
        <v>230</v>
      </c>
      <c r="D67" s="76">
        <f t="shared" si="17"/>
        <v>132881.4</v>
      </c>
      <c r="E67" s="76">
        <f t="shared" si="17"/>
        <v>26990.99008391608</v>
      </c>
      <c r="F67" s="76">
        <f t="shared" si="17"/>
        <v>101465.0181818182</v>
      </c>
      <c r="G67" s="76">
        <f t="shared" si="17"/>
        <v>12367.400727272727</v>
      </c>
      <c r="H67" s="76">
        <f t="shared" si="17"/>
        <v>55733.000727272731</v>
      </c>
      <c r="I67" s="76">
        <f t="shared" si="17"/>
        <v>273704.808993007</v>
      </c>
      <c r="J67" s="73">
        <f t="shared" si="18"/>
        <v>54740.961798601405</v>
      </c>
      <c r="K67" s="269">
        <f t="shared" si="19"/>
        <v>328400</v>
      </c>
      <c r="L67" s="274">
        <v>253200</v>
      </c>
      <c r="M67" s="275">
        <f t="shared" si="20"/>
        <v>75200</v>
      </c>
    </row>
    <row r="68" spans="1:13" ht="33.75" customHeight="1">
      <c r="A68" s="74">
        <v>3</v>
      </c>
      <c r="B68" s="252" t="s">
        <v>413</v>
      </c>
      <c r="C68" s="112" t="s">
        <v>387</v>
      </c>
      <c r="D68" s="76">
        <f t="shared" si="17"/>
        <v>248100</v>
      </c>
      <c r="E68" s="76">
        <f t="shared" si="17"/>
        <v>29772.042279720274</v>
      </c>
      <c r="F68" s="76">
        <f t="shared" si="17"/>
        <v>81058.909090909074</v>
      </c>
      <c r="G68" s="76">
        <f t="shared" si="17"/>
        <v>40302.327272727271</v>
      </c>
      <c r="H68" s="76">
        <f t="shared" si="17"/>
        <v>123340.14545454543</v>
      </c>
      <c r="I68" s="76">
        <f t="shared" si="17"/>
        <v>399233.27864335658</v>
      </c>
      <c r="J68" s="73">
        <f t="shared" si="18"/>
        <v>79846.655728671321</v>
      </c>
      <c r="K68" s="269">
        <f t="shared" si="19"/>
        <v>479100</v>
      </c>
      <c r="L68" s="266">
        <v>529500</v>
      </c>
      <c r="M68" s="275">
        <f t="shared" si="20"/>
        <v>-50400</v>
      </c>
    </row>
    <row r="69" spans="1:13" ht="33.75" customHeight="1">
      <c r="A69" s="74">
        <v>4</v>
      </c>
      <c r="B69" s="252" t="s">
        <v>414</v>
      </c>
      <c r="C69" s="112" t="s">
        <v>386</v>
      </c>
      <c r="D69" s="76">
        <f t="shared" si="17"/>
        <v>248100</v>
      </c>
      <c r="E69" s="76">
        <f t="shared" si="17"/>
        <v>29772.042279720274</v>
      </c>
      <c r="F69" s="76">
        <f t="shared" si="17"/>
        <v>81058.909090909074</v>
      </c>
      <c r="G69" s="76">
        <f t="shared" si="17"/>
        <v>40302.327272727271</v>
      </c>
      <c r="H69" s="76">
        <f t="shared" si="17"/>
        <v>123340.14545454543</v>
      </c>
      <c r="I69" s="76">
        <f t="shared" si="17"/>
        <v>399233.27864335658</v>
      </c>
      <c r="J69" s="73">
        <f t="shared" si="18"/>
        <v>79846.655728671321</v>
      </c>
      <c r="K69" s="269">
        <f t="shared" si="19"/>
        <v>479100</v>
      </c>
      <c r="L69" s="266">
        <v>529500</v>
      </c>
      <c r="M69" s="275">
        <f t="shared" si="20"/>
        <v>-50400</v>
      </c>
    </row>
    <row r="70" spans="1:13" ht="33.75" customHeight="1">
      <c r="A70" s="74">
        <v>5</v>
      </c>
      <c r="B70" s="3" t="s">
        <v>227</v>
      </c>
      <c r="C70" s="3" t="s">
        <v>343</v>
      </c>
      <c r="D70" s="76">
        <f t="shared" si="17"/>
        <v>248100</v>
      </c>
      <c r="E70" s="76">
        <f t="shared" si="17"/>
        <v>171139.46627972022</v>
      </c>
      <c r="F70" s="76">
        <f t="shared" si="17"/>
        <v>77312.290909090894</v>
      </c>
      <c r="G70" s="76">
        <f t="shared" si="17"/>
        <v>58468.450909090898</v>
      </c>
      <c r="H70" s="76">
        <f t="shared" si="17"/>
        <v>143325.59999999998</v>
      </c>
      <c r="I70" s="76">
        <f t="shared" si="17"/>
        <v>555020.20809790201</v>
      </c>
      <c r="J70" s="73">
        <f t="shared" si="18"/>
        <v>111004.04161958041</v>
      </c>
      <c r="K70" s="269">
        <f t="shared" si="19"/>
        <v>666000</v>
      </c>
      <c r="L70" s="274">
        <v>591600</v>
      </c>
      <c r="M70" s="275">
        <f t="shared" si="20"/>
        <v>74400</v>
      </c>
    </row>
    <row r="71" spans="1:13" ht="33.75" customHeight="1">
      <c r="A71" s="74">
        <v>6</v>
      </c>
      <c r="B71" s="3" t="s">
        <v>243</v>
      </c>
      <c r="C71" s="3" t="s">
        <v>240</v>
      </c>
      <c r="D71" s="76">
        <f t="shared" si="17"/>
        <v>248100</v>
      </c>
      <c r="E71" s="76">
        <f t="shared" si="17"/>
        <v>168039.39634965025</v>
      </c>
      <c r="F71" s="76">
        <f t="shared" si="17"/>
        <v>83356.363636363618</v>
      </c>
      <c r="G71" s="76">
        <f t="shared" si="17"/>
        <v>37816.014545454542</v>
      </c>
      <c r="H71" s="76">
        <f t="shared" si="17"/>
        <v>143325.59999999998</v>
      </c>
      <c r="I71" s="76">
        <f t="shared" si="17"/>
        <v>537311.7745314684</v>
      </c>
      <c r="J71" s="73">
        <f t="shared" si="18"/>
        <v>107462.35490629368</v>
      </c>
      <c r="K71" s="269">
        <f t="shared" si="19"/>
        <v>644800</v>
      </c>
      <c r="L71" s="274">
        <v>602600</v>
      </c>
      <c r="M71" s="275">
        <f t="shared" si="20"/>
        <v>42200</v>
      </c>
    </row>
    <row r="72" spans="1:13" ht="33.75" customHeight="1">
      <c r="A72" s="74">
        <v>7</v>
      </c>
      <c r="B72" s="252" t="s">
        <v>415</v>
      </c>
      <c r="C72" s="112" t="s">
        <v>390</v>
      </c>
      <c r="D72" s="76">
        <f t="shared" si="17"/>
        <v>155028.29999999999</v>
      </c>
      <c r="E72" s="76">
        <f t="shared" si="17"/>
        <v>50790.149188811207</v>
      </c>
      <c r="F72" s="76">
        <f t="shared" si="17"/>
        <v>56906.181818181809</v>
      </c>
      <c r="G72" s="76">
        <f t="shared" si="17"/>
        <v>37816.014545454542</v>
      </c>
      <c r="H72" s="76">
        <f t="shared" si="17"/>
        <v>123340.14545454543</v>
      </c>
      <c r="I72" s="76">
        <f t="shared" si="17"/>
        <v>300540.64555244753</v>
      </c>
      <c r="J72" s="73">
        <f t="shared" si="18"/>
        <v>60108.129110489506</v>
      </c>
      <c r="K72" s="269">
        <f t="shared" si="19"/>
        <v>360600</v>
      </c>
      <c r="L72" s="274">
        <v>426500</v>
      </c>
      <c r="M72" s="275">
        <f t="shared" si="20"/>
        <v>-65900</v>
      </c>
    </row>
    <row r="73" spans="1:13" ht="33.75" customHeight="1">
      <c r="A73" s="74">
        <v>8</v>
      </c>
      <c r="B73" s="252" t="s">
        <v>416</v>
      </c>
      <c r="C73" s="112" t="s">
        <v>397</v>
      </c>
      <c r="D73" s="76">
        <f t="shared" si="17"/>
        <v>155028.29999999999</v>
      </c>
      <c r="E73" s="76">
        <f t="shared" si="17"/>
        <v>50790.149188811207</v>
      </c>
      <c r="F73" s="76">
        <f t="shared" si="17"/>
        <v>56906.181818181809</v>
      </c>
      <c r="G73" s="76">
        <f t="shared" si="17"/>
        <v>37816.014545454542</v>
      </c>
      <c r="H73" s="76">
        <f t="shared" si="17"/>
        <v>123340.14545454543</v>
      </c>
      <c r="I73" s="76">
        <f t="shared" si="17"/>
        <v>300540.64555244753</v>
      </c>
      <c r="J73" s="73">
        <f t="shared" si="18"/>
        <v>60108.129110489506</v>
      </c>
      <c r="K73" s="269">
        <f t="shared" si="19"/>
        <v>360600</v>
      </c>
      <c r="L73" s="274">
        <v>426500</v>
      </c>
      <c r="M73" s="275">
        <f t="shared" si="20"/>
        <v>-65900</v>
      </c>
    </row>
    <row r="74" spans="1:13" ht="33.75" customHeight="1">
      <c r="A74" s="74">
        <v>9</v>
      </c>
      <c r="B74" s="252" t="s">
        <v>417</v>
      </c>
      <c r="C74" s="112" t="s">
        <v>398</v>
      </c>
      <c r="D74" s="76">
        <f t="shared" si="17"/>
        <v>155028.29999999999</v>
      </c>
      <c r="E74" s="76">
        <f t="shared" si="17"/>
        <v>50790.149188811207</v>
      </c>
      <c r="F74" s="76">
        <f t="shared" si="17"/>
        <v>56906.181818181809</v>
      </c>
      <c r="G74" s="76">
        <f t="shared" si="17"/>
        <v>37816.014545454542</v>
      </c>
      <c r="H74" s="76">
        <f t="shared" si="17"/>
        <v>123340.14545454543</v>
      </c>
      <c r="I74" s="76">
        <f t="shared" si="17"/>
        <v>300540.64555244753</v>
      </c>
      <c r="J74" s="73">
        <f t="shared" si="18"/>
        <v>60108.129110489506</v>
      </c>
      <c r="K74" s="269">
        <f t="shared" si="19"/>
        <v>360600</v>
      </c>
      <c r="L74" s="274">
        <v>426500</v>
      </c>
      <c r="M74" s="275">
        <f t="shared" si="20"/>
        <v>-65900</v>
      </c>
    </row>
    <row r="75" spans="1:13" ht="33.75" customHeight="1">
      <c r="A75" s="74">
        <v>10</v>
      </c>
      <c r="B75" s="252" t="s">
        <v>418</v>
      </c>
      <c r="C75" s="112" t="s">
        <v>405</v>
      </c>
      <c r="D75" s="76">
        <f t="shared" si="17"/>
        <v>155028.29999999999</v>
      </c>
      <c r="E75" s="76">
        <f t="shared" si="17"/>
        <v>50790.149188811207</v>
      </c>
      <c r="F75" s="76">
        <f t="shared" si="17"/>
        <v>56906.181818181809</v>
      </c>
      <c r="G75" s="76">
        <f t="shared" si="17"/>
        <v>37816.014545454542</v>
      </c>
      <c r="H75" s="76">
        <f t="shared" si="17"/>
        <v>123340.14545454543</v>
      </c>
      <c r="I75" s="76">
        <f t="shared" si="17"/>
        <v>300540.64555244753</v>
      </c>
      <c r="J75" s="73">
        <f t="shared" si="18"/>
        <v>60108.129110489506</v>
      </c>
      <c r="K75" s="269">
        <f t="shared" si="19"/>
        <v>360600</v>
      </c>
      <c r="L75" s="274">
        <v>426500</v>
      </c>
      <c r="M75" s="275">
        <f t="shared" si="20"/>
        <v>-65900</v>
      </c>
    </row>
    <row r="76" spans="1:13" ht="33.75" customHeight="1">
      <c r="A76" s="74">
        <v>11</v>
      </c>
      <c r="B76" s="252" t="s">
        <v>419</v>
      </c>
      <c r="C76" s="112" t="s">
        <v>399</v>
      </c>
      <c r="D76" s="76">
        <f t="shared" si="17"/>
        <v>155028.29999999999</v>
      </c>
      <c r="E76" s="76">
        <f t="shared" si="17"/>
        <v>50790.149188811207</v>
      </c>
      <c r="F76" s="76">
        <f t="shared" si="17"/>
        <v>56906.181818181809</v>
      </c>
      <c r="G76" s="76">
        <f t="shared" si="17"/>
        <v>37816.014545454542</v>
      </c>
      <c r="H76" s="76">
        <f t="shared" si="17"/>
        <v>123340.14545454543</v>
      </c>
      <c r="I76" s="76">
        <f t="shared" si="17"/>
        <v>300540.64555244753</v>
      </c>
      <c r="J76" s="73">
        <f t="shared" si="18"/>
        <v>60108.129110489506</v>
      </c>
      <c r="K76" s="269">
        <f t="shared" si="19"/>
        <v>360600</v>
      </c>
      <c r="L76" s="274">
        <v>426500</v>
      </c>
      <c r="M76" s="275">
        <f t="shared" si="20"/>
        <v>-65900</v>
      </c>
    </row>
    <row r="77" spans="1:13" ht="33.75" customHeight="1">
      <c r="A77" s="74">
        <v>12</v>
      </c>
      <c r="B77" s="252" t="s">
        <v>420</v>
      </c>
      <c r="C77" s="112" t="s">
        <v>401</v>
      </c>
      <c r="D77" s="76">
        <f t="shared" si="17"/>
        <v>155028.29999999999</v>
      </c>
      <c r="E77" s="76">
        <f t="shared" si="17"/>
        <v>50790.149188811207</v>
      </c>
      <c r="F77" s="76">
        <f t="shared" si="17"/>
        <v>56906.181818181809</v>
      </c>
      <c r="G77" s="76">
        <f t="shared" si="17"/>
        <v>37816.014545454542</v>
      </c>
      <c r="H77" s="76">
        <f t="shared" si="17"/>
        <v>123340.14545454543</v>
      </c>
      <c r="I77" s="76">
        <f t="shared" si="17"/>
        <v>300540.64555244753</v>
      </c>
      <c r="J77" s="73">
        <f t="shared" si="18"/>
        <v>60108.129110489506</v>
      </c>
      <c r="K77" s="269">
        <f t="shared" si="19"/>
        <v>360600</v>
      </c>
      <c r="L77" s="274">
        <v>529500</v>
      </c>
      <c r="M77" s="275">
        <f t="shared" si="20"/>
        <v>-168900</v>
      </c>
    </row>
    <row r="78" spans="1:13" ht="33.75" customHeight="1">
      <c r="A78" s="74">
        <v>13</v>
      </c>
      <c r="B78" s="252" t="s">
        <v>421</v>
      </c>
      <c r="C78" s="112" t="s">
        <v>400</v>
      </c>
      <c r="D78" s="76">
        <f t="shared" si="17"/>
        <v>155028.29999999999</v>
      </c>
      <c r="E78" s="76">
        <f t="shared" si="17"/>
        <v>50790.149188811207</v>
      </c>
      <c r="F78" s="76">
        <f t="shared" si="17"/>
        <v>56906.181818181809</v>
      </c>
      <c r="G78" s="76">
        <f t="shared" si="17"/>
        <v>37816.014545454542</v>
      </c>
      <c r="H78" s="76">
        <f t="shared" si="17"/>
        <v>123340.14545454543</v>
      </c>
      <c r="I78" s="76">
        <f t="shared" si="17"/>
        <v>300540.64555244753</v>
      </c>
      <c r="J78" s="73">
        <f t="shared" si="18"/>
        <v>60108.129110489506</v>
      </c>
      <c r="K78" s="269">
        <f t="shared" si="19"/>
        <v>360600</v>
      </c>
      <c r="L78" s="274">
        <v>426500</v>
      </c>
      <c r="M78" s="275">
        <f t="shared" si="20"/>
        <v>-65900</v>
      </c>
    </row>
    <row r="79" spans="1:13" ht="33.75" customHeight="1">
      <c r="A79" s="74">
        <v>14</v>
      </c>
      <c r="B79" s="252" t="s">
        <v>422</v>
      </c>
      <c r="C79" s="112" t="s">
        <v>402</v>
      </c>
      <c r="D79" s="76">
        <f t="shared" si="17"/>
        <v>155028.29999999999</v>
      </c>
      <c r="E79" s="76">
        <f t="shared" si="17"/>
        <v>50790.149188811207</v>
      </c>
      <c r="F79" s="76">
        <f t="shared" si="17"/>
        <v>56906.181818181809</v>
      </c>
      <c r="G79" s="76">
        <f t="shared" si="17"/>
        <v>37816.014545454542</v>
      </c>
      <c r="H79" s="76">
        <f t="shared" si="17"/>
        <v>123340.14545454543</v>
      </c>
      <c r="I79" s="76">
        <f t="shared" si="17"/>
        <v>300540.64555244753</v>
      </c>
      <c r="J79" s="73">
        <f t="shared" si="18"/>
        <v>60108.129110489506</v>
      </c>
      <c r="K79" s="269">
        <f t="shared" si="19"/>
        <v>360600</v>
      </c>
      <c r="L79" s="274">
        <v>591600</v>
      </c>
      <c r="M79" s="275">
        <f t="shared" si="20"/>
        <v>-231000</v>
      </c>
    </row>
    <row r="80" spans="1:13" ht="33.75" customHeight="1">
      <c r="A80" s="74">
        <v>15</v>
      </c>
      <c r="B80" s="252" t="s">
        <v>423</v>
      </c>
      <c r="C80" s="112" t="s">
        <v>403</v>
      </c>
      <c r="D80" s="76">
        <f t="shared" ref="D80:I90" si="21">D54*1.2</f>
        <v>155028.29999999999</v>
      </c>
      <c r="E80" s="76">
        <f t="shared" si="21"/>
        <v>50790.149188811207</v>
      </c>
      <c r="F80" s="76">
        <f t="shared" si="21"/>
        <v>56906.181818181809</v>
      </c>
      <c r="G80" s="76">
        <f t="shared" si="21"/>
        <v>37816.014545454542</v>
      </c>
      <c r="H80" s="76">
        <f t="shared" si="21"/>
        <v>123340.14545454543</v>
      </c>
      <c r="I80" s="76">
        <f t="shared" si="21"/>
        <v>300540.64555244753</v>
      </c>
      <c r="J80" s="73">
        <f t="shared" si="18"/>
        <v>60108.129110489506</v>
      </c>
      <c r="K80" s="269">
        <f t="shared" si="19"/>
        <v>360600</v>
      </c>
      <c r="L80" s="274">
        <v>426500</v>
      </c>
      <c r="M80" s="275">
        <f t="shared" si="20"/>
        <v>-65900</v>
      </c>
    </row>
    <row r="81" spans="1:13" ht="33.75" customHeight="1">
      <c r="A81" s="74">
        <v>16</v>
      </c>
      <c r="B81" s="252" t="s">
        <v>424</v>
      </c>
      <c r="C81" s="112" t="s">
        <v>404</v>
      </c>
      <c r="D81" s="76">
        <f t="shared" si="21"/>
        <v>155028.29999999999</v>
      </c>
      <c r="E81" s="76">
        <f t="shared" si="21"/>
        <v>50790.149188811207</v>
      </c>
      <c r="F81" s="76">
        <f t="shared" si="21"/>
        <v>56906.181818181809</v>
      </c>
      <c r="G81" s="76">
        <f t="shared" si="21"/>
        <v>37816.014545454542</v>
      </c>
      <c r="H81" s="76">
        <f t="shared" si="21"/>
        <v>123340.14545454543</v>
      </c>
      <c r="I81" s="76">
        <f t="shared" si="21"/>
        <v>300540.64555244753</v>
      </c>
      <c r="J81" s="73">
        <f t="shared" si="18"/>
        <v>60108.129110489506</v>
      </c>
      <c r="K81" s="269">
        <f t="shared" si="19"/>
        <v>360600</v>
      </c>
      <c r="L81" s="274">
        <v>426500</v>
      </c>
      <c r="M81" s="275">
        <f t="shared" si="20"/>
        <v>-65900</v>
      </c>
    </row>
    <row r="82" spans="1:13" ht="33.75" customHeight="1">
      <c r="A82" s="74">
        <v>17</v>
      </c>
      <c r="B82" s="252" t="s">
        <v>432</v>
      </c>
      <c r="C82" s="112" t="s">
        <v>406</v>
      </c>
      <c r="D82" s="76">
        <f t="shared" si="21"/>
        <v>155028.29999999999</v>
      </c>
      <c r="E82" s="76">
        <f t="shared" si="21"/>
        <v>50790.149188811207</v>
      </c>
      <c r="F82" s="76">
        <f t="shared" si="21"/>
        <v>56906.181818181809</v>
      </c>
      <c r="G82" s="76">
        <f t="shared" si="21"/>
        <v>37816.014545454542</v>
      </c>
      <c r="H82" s="76">
        <f t="shared" si="21"/>
        <v>123340.14545454543</v>
      </c>
      <c r="I82" s="76">
        <f t="shared" si="21"/>
        <v>300540.64555244753</v>
      </c>
      <c r="J82" s="73">
        <f t="shared" si="18"/>
        <v>60108.129110489506</v>
      </c>
      <c r="K82" s="269">
        <f t="shared" si="19"/>
        <v>360600</v>
      </c>
      <c r="L82" s="274">
        <v>426500</v>
      </c>
      <c r="M82" s="275">
        <f t="shared" si="20"/>
        <v>-65900</v>
      </c>
    </row>
    <row r="83" spans="1:13" ht="33.75" customHeight="1">
      <c r="A83" s="74">
        <v>18</v>
      </c>
      <c r="B83" s="252" t="s">
        <v>425</v>
      </c>
      <c r="C83" s="112" t="s">
        <v>433</v>
      </c>
      <c r="D83" s="76">
        <f t="shared" si="21"/>
        <v>155028.29999999999</v>
      </c>
      <c r="E83" s="76">
        <f t="shared" si="21"/>
        <v>50790.149188811207</v>
      </c>
      <c r="F83" s="76">
        <f t="shared" si="21"/>
        <v>56906.181818181809</v>
      </c>
      <c r="G83" s="76">
        <f t="shared" si="21"/>
        <v>37816.014545454542</v>
      </c>
      <c r="H83" s="76">
        <f t="shared" si="21"/>
        <v>123340.14545454543</v>
      </c>
      <c r="I83" s="76">
        <f t="shared" si="21"/>
        <v>300540.64555244753</v>
      </c>
      <c r="J83" s="73">
        <f t="shared" si="18"/>
        <v>60108.129110489506</v>
      </c>
      <c r="K83" s="269">
        <f t="shared" si="19"/>
        <v>360600</v>
      </c>
      <c r="L83" s="274">
        <v>426500</v>
      </c>
      <c r="M83" s="275">
        <f t="shared" si="20"/>
        <v>-65900</v>
      </c>
    </row>
    <row r="84" spans="1:13" ht="33.75" customHeight="1">
      <c r="A84" s="74">
        <v>19</v>
      </c>
      <c r="B84" s="3" t="s">
        <v>217</v>
      </c>
      <c r="C84" s="3" t="s">
        <v>4</v>
      </c>
      <c r="D84" s="76">
        <f t="shared" si="21"/>
        <v>297720</v>
      </c>
      <c r="E84" s="76">
        <f t="shared" si="21"/>
        <v>53872.673160839193</v>
      </c>
      <c r="F84" s="76">
        <f t="shared" si="21"/>
        <v>245952.52363636359</v>
      </c>
      <c r="G84" s="76">
        <f t="shared" si="21"/>
        <v>54638.727272727265</v>
      </c>
      <c r="H84" s="76">
        <f t="shared" si="21"/>
        <v>38969.236363636359</v>
      </c>
      <c r="I84" s="76">
        <f t="shared" si="21"/>
        <v>652183.9240699301</v>
      </c>
      <c r="J84" s="73">
        <f t="shared" si="18"/>
        <v>130436.78481398603</v>
      </c>
      <c r="K84" s="269">
        <f t="shared" si="19"/>
        <v>782600</v>
      </c>
      <c r="L84" s="274">
        <v>842300</v>
      </c>
      <c r="M84" s="275">
        <f t="shared" si="20"/>
        <v>-59700</v>
      </c>
    </row>
    <row r="85" spans="1:13" ht="33.75" customHeight="1">
      <c r="A85" s="74">
        <v>20</v>
      </c>
      <c r="B85" s="3" t="s">
        <v>320</v>
      </c>
      <c r="C85" s="3" t="s">
        <v>6</v>
      </c>
      <c r="D85" s="76">
        <f t="shared" si="21"/>
        <v>297720</v>
      </c>
      <c r="E85" s="76">
        <f t="shared" si="21"/>
        <v>59878.590475524492</v>
      </c>
      <c r="F85" s="76">
        <f t="shared" si="21"/>
        <v>165027.92727272728</v>
      </c>
      <c r="G85" s="76">
        <f t="shared" si="21"/>
        <v>30276.872727272719</v>
      </c>
      <c r="H85" s="76">
        <f t="shared" si="21"/>
        <v>43365.599999999999</v>
      </c>
      <c r="I85" s="76">
        <f t="shared" si="21"/>
        <v>552903.39047552459</v>
      </c>
      <c r="J85" s="73">
        <f t="shared" si="18"/>
        <v>110580.67809510493</v>
      </c>
      <c r="K85" s="269">
        <f t="shared" si="19"/>
        <v>663500</v>
      </c>
      <c r="L85" s="274">
        <v>700000</v>
      </c>
      <c r="M85" s="275">
        <f t="shared" si="20"/>
        <v>-36500</v>
      </c>
    </row>
    <row r="86" spans="1:13" ht="33.75" customHeight="1">
      <c r="A86" s="74">
        <v>21</v>
      </c>
      <c r="B86" s="3" t="s">
        <v>326</v>
      </c>
      <c r="C86" s="8" t="s">
        <v>7</v>
      </c>
      <c r="D86" s="76">
        <f t="shared" si="21"/>
        <v>496200</v>
      </c>
      <c r="E86" s="76">
        <f t="shared" si="21"/>
        <v>182738.46634965032</v>
      </c>
      <c r="F86" s="76">
        <f t="shared" si="21"/>
        <v>1195271.3454545452</v>
      </c>
      <c r="G86" s="76">
        <f t="shared" si="21"/>
        <v>81166.079999999987</v>
      </c>
      <c r="H86" s="76">
        <f t="shared" si="21"/>
        <v>142587.53454545452</v>
      </c>
      <c r="I86" s="76">
        <f t="shared" si="21"/>
        <v>1955375.8918041955</v>
      </c>
      <c r="J86" s="73">
        <f t="shared" si="18"/>
        <v>391075.17836083914</v>
      </c>
      <c r="K86" s="269">
        <f t="shared" si="19"/>
        <v>2346500</v>
      </c>
      <c r="L86" s="274">
        <v>2362000</v>
      </c>
      <c r="M86" s="275">
        <f t="shared" si="20"/>
        <v>-15500</v>
      </c>
    </row>
    <row r="87" spans="1:13" ht="33.75" customHeight="1">
      <c r="A87" s="74">
        <v>22</v>
      </c>
      <c r="B87" s="3" t="s">
        <v>325</v>
      </c>
      <c r="C87" s="8" t="s">
        <v>8</v>
      </c>
      <c r="D87" s="76">
        <f t="shared" si="21"/>
        <v>496200</v>
      </c>
      <c r="E87" s="76">
        <f t="shared" si="21"/>
        <v>182527.4016643356</v>
      </c>
      <c r="F87" s="76">
        <f t="shared" si="21"/>
        <v>1179388.2763636364</v>
      </c>
      <c r="G87" s="76">
        <f t="shared" si="21"/>
        <v>81166.079999999987</v>
      </c>
      <c r="H87" s="76">
        <f t="shared" si="21"/>
        <v>142587.53454545452</v>
      </c>
      <c r="I87" s="76">
        <f t="shared" si="21"/>
        <v>1939281.7580279717</v>
      </c>
      <c r="J87" s="73">
        <f t="shared" si="18"/>
        <v>387856.35160559439</v>
      </c>
      <c r="K87" s="269">
        <f t="shared" si="19"/>
        <v>2327100</v>
      </c>
      <c r="L87" s="274">
        <v>2570700</v>
      </c>
      <c r="M87" s="275">
        <f t="shared" si="20"/>
        <v>-243600</v>
      </c>
    </row>
    <row r="88" spans="1:13" ht="33.75" customHeight="1">
      <c r="A88" s="74">
        <v>23</v>
      </c>
      <c r="B88" s="3" t="s">
        <v>327</v>
      </c>
      <c r="C88" s="8" t="s">
        <v>231</v>
      </c>
      <c r="D88" s="76">
        <f t="shared" si="21"/>
        <v>549462</v>
      </c>
      <c r="E88" s="76">
        <f t="shared" si="21"/>
        <v>182527.4016643356</v>
      </c>
      <c r="F88" s="76">
        <f t="shared" si="21"/>
        <v>1709570.094545455</v>
      </c>
      <c r="G88" s="76">
        <f t="shared" si="21"/>
        <v>81166.079999999987</v>
      </c>
      <c r="H88" s="76">
        <f t="shared" si="21"/>
        <v>142587.53454545452</v>
      </c>
      <c r="I88" s="76">
        <f t="shared" si="21"/>
        <v>2522725.5762097905</v>
      </c>
      <c r="J88" s="73">
        <f t="shared" si="18"/>
        <v>504545.11524195812</v>
      </c>
      <c r="K88" s="269">
        <f t="shared" si="19"/>
        <v>3027300</v>
      </c>
      <c r="L88" s="274">
        <v>2570700</v>
      </c>
      <c r="M88" s="275">
        <f t="shared" si="20"/>
        <v>456600</v>
      </c>
    </row>
    <row r="89" spans="1:13" ht="33.75" customHeight="1">
      <c r="A89" s="74">
        <v>24</v>
      </c>
      <c r="B89" s="3" t="s">
        <v>328</v>
      </c>
      <c r="C89" s="3" t="s">
        <v>9</v>
      </c>
      <c r="D89" s="76">
        <f t="shared" si="21"/>
        <v>496200</v>
      </c>
      <c r="E89" s="76">
        <f t="shared" si="21"/>
        <v>182738.46634965032</v>
      </c>
      <c r="F89" s="76">
        <f t="shared" si="21"/>
        <v>1709570.094545455</v>
      </c>
      <c r="G89" s="76">
        <f t="shared" si="21"/>
        <v>81166.079999999987</v>
      </c>
      <c r="H89" s="76">
        <f t="shared" si="21"/>
        <v>142587.53454545452</v>
      </c>
      <c r="I89" s="76">
        <f t="shared" si="21"/>
        <v>2469674.6408951054</v>
      </c>
      <c r="J89" s="73">
        <f t="shared" si="18"/>
        <v>493934.92817902111</v>
      </c>
      <c r="K89" s="269">
        <f t="shared" si="19"/>
        <v>2963600</v>
      </c>
      <c r="L89" s="274">
        <v>2570700</v>
      </c>
      <c r="M89" s="275">
        <f t="shared" si="20"/>
        <v>392900</v>
      </c>
    </row>
    <row r="90" spans="1:13" ht="33.75" customHeight="1">
      <c r="A90" s="74">
        <v>25</v>
      </c>
      <c r="B90" s="253" t="s">
        <v>329</v>
      </c>
      <c r="C90" s="79" t="s">
        <v>364</v>
      </c>
      <c r="D90" s="76">
        <f t="shared" si="21"/>
        <v>274731</v>
      </c>
      <c r="E90" s="76">
        <f t="shared" si="21"/>
        <v>33544.529720279708</v>
      </c>
      <c r="F90" s="76">
        <f t="shared" si="21"/>
        <v>898834.90909090883</v>
      </c>
      <c r="G90" s="76">
        <f t="shared" si="21"/>
        <v>111783.81818181816</v>
      </c>
      <c r="H90" s="76">
        <f t="shared" si="21"/>
        <v>118299.27272727271</v>
      </c>
      <c r="I90" s="76">
        <f t="shared" si="21"/>
        <v>1318894.2569930067</v>
      </c>
      <c r="J90" s="73">
        <f t="shared" si="18"/>
        <v>263778.85139860137</v>
      </c>
      <c r="K90" s="269">
        <f t="shared" si="19"/>
        <v>1582700</v>
      </c>
      <c r="L90" s="274">
        <v>1194600</v>
      </c>
      <c r="M90" s="275">
        <f t="shared" si="20"/>
        <v>388100</v>
      </c>
    </row>
    <row r="91" spans="1:13" ht="33.75" customHeight="1">
      <c r="A91" s="282"/>
      <c r="B91" s="283"/>
      <c r="C91" s="284"/>
      <c r="D91" s="285"/>
      <c r="E91" s="285"/>
      <c r="F91" s="285"/>
      <c r="G91" s="286"/>
      <c r="H91" s="286"/>
      <c r="I91" s="287"/>
      <c r="J91" s="287"/>
      <c r="K91" s="288"/>
      <c r="L91" s="289"/>
      <c r="M91" s="280"/>
    </row>
    <row r="92" spans="1:13" ht="33.75" customHeight="1">
      <c r="A92" s="282"/>
      <c r="B92" s="283"/>
      <c r="C92" s="284"/>
      <c r="D92" s="285"/>
      <c r="E92" s="285"/>
      <c r="F92" s="285"/>
      <c r="G92" s="286"/>
      <c r="H92" s="286"/>
      <c r="I92" s="287"/>
      <c r="J92" s="287"/>
      <c r="K92" s="288"/>
      <c r="L92" s="289"/>
      <c r="M92" s="280"/>
    </row>
    <row r="93" spans="1:13" ht="33.75" customHeight="1">
      <c r="A93" s="282"/>
      <c r="B93" s="283"/>
      <c r="C93" s="284"/>
      <c r="D93" s="285"/>
      <c r="E93" s="285"/>
      <c r="F93" s="285"/>
      <c r="G93" s="286"/>
      <c r="H93" s="286"/>
      <c r="I93" s="287"/>
      <c r="J93" s="287"/>
      <c r="K93" s="288"/>
      <c r="L93" s="289"/>
      <c r="M93" s="280"/>
    </row>
    <row r="94" spans="1:13" ht="33.75" customHeight="1">
      <c r="A94" s="282"/>
      <c r="B94" s="283"/>
      <c r="C94" s="284"/>
      <c r="D94" s="285"/>
      <c r="E94" s="285"/>
      <c r="F94" s="285"/>
      <c r="G94" s="286"/>
      <c r="H94" s="286"/>
      <c r="I94" s="287"/>
      <c r="J94" s="287"/>
      <c r="K94" s="288"/>
      <c r="L94" s="289"/>
      <c r="M94" s="280"/>
    </row>
    <row r="95" spans="1:13" ht="33.75" customHeight="1">
      <c r="A95" s="282"/>
      <c r="B95" s="283"/>
      <c r="C95" s="284"/>
      <c r="D95" s="285"/>
      <c r="E95" s="285"/>
      <c r="F95" s="285"/>
      <c r="G95" s="286"/>
      <c r="H95" s="286"/>
      <c r="I95" s="287"/>
      <c r="J95" s="287"/>
      <c r="K95" s="288"/>
      <c r="L95" s="289"/>
      <c r="M95" s="280"/>
    </row>
    <row r="96" spans="1:13" ht="33.75" customHeight="1">
      <c r="A96" s="282"/>
      <c r="B96" s="283"/>
      <c r="C96" s="284"/>
      <c r="D96" s="285"/>
      <c r="E96" s="285"/>
      <c r="F96" s="285"/>
      <c r="G96" s="286"/>
      <c r="H96" s="286"/>
      <c r="I96" s="287"/>
      <c r="J96" s="287"/>
      <c r="K96" s="288"/>
      <c r="L96" s="289"/>
      <c r="M96" s="280"/>
    </row>
    <row r="97" spans="1:13" ht="33.75" customHeight="1">
      <c r="A97" s="282"/>
      <c r="B97" s="283"/>
      <c r="C97" s="284"/>
      <c r="D97" s="285"/>
      <c r="E97" s="285"/>
      <c r="F97" s="285"/>
      <c r="G97" s="286"/>
      <c r="H97" s="286"/>
      <c r="I97" s="287"/>
      <c r="J97" s="287"/>
      <c r="K97" s="288"/>
      <c r="L97" s="289"/>
      <c r="M97" s="280"/>
    </row>
    <row r="98" spans="1:13" ht="33.75" customHeight="1">
      <c r="A98" s="282"/>
      <c r="B98" s="283"/>
      <c r="C98" s="284"/>
      <c r="D98" s="285"/>
      <c r="E98" s="285"/>
      <c r="F98" s="285"/>
      <c r="G98" s="286"/>
      <c r="H98" s="286"/>
      <c r="I98" s="287"/>
      <c r="J98" s="287"/>
      <c r="K98" s="288"/>
      <c r="L98" s="289"/>
      <c r="M98" s="280"/>
    </row>
    <row r="99" spans="1:13" ht="33.75" customHeight="1">
      <c r="A99" s="282"/>
      <c r="B99" s="283"/>
      <c r="C99" s="284"/>
      <c r="D99" s="285"/>
      <c r="E99" s="285"/>
      <c r="F99" s="285"/>
      <c r="G99" s="286"/>
      <c r="H99" s="286"/>
      <c r="I99" s="287"/>
      <c r="J99" s="287"/>
      <c r="K99" s="288"/>
      <c r="L99" s="289"/>
      <c r="M99" s="280"/>
    </row>
    <row r="100" spans="1:13" ht="33.75" customHeight="1">
      <c r="A100" s="282"/>
      <c r="B100" s="283"/>
      <c r="C100" s="284"/>
      <c r="D100" s="285"/>
      <c r="E100" s="285"/>
      <c r="F100" s="285"/>
      <c r="G100" s="286"/>
      <c r="H100" s="286"/>
      <c r="I100" s="287"/>
      <c r="J100" s="287"/>
      <c r="K100" s="288"/>
      <c r="L100" s="289"/>
      <c r="M100" s="280"/>
    </row>
    <row r="101" spans="1:13" ht="33.75" customHeight="1">
      <c r="A101" s="282"/>
      <c r="B101" s="283"/>
      <c r="C101" s="284"/>
      <c r="D101" s="285"/>
      <c r="E101" s="285"/>
      <c r="F101" s="285"/>
      <c r="G101" s="286"/>
      <c r="H101" s="286"/>
      <c r="I101" s="287"/>
      <c r="J101" s="287"/>
      <c r="K101" s="288"/>
      <c r="L101" s="289"/>
      <c r="M101" s="280"/>
    </row>
    <row r="102" spans="1:13" ht="33.75" customHeight="1">
      <c r="A102" s="282"/>
      <c r="B102" s="283"/>
      <c r="C102" s="284"/>
      <c r="D102" s="285"/>
      <c r="E102" s="285"/>
      <c r="F102" s="285"/>
      <c r="G102" s="286"/>
      <c r="H102" s="286"/>
      <c r="I102" s="287"/>
      <c r="J102" s="287"/>
      <c r="K102" s="288"/>
      <c r="L102" s="289"/>
      <c r="M102" s="280"/>
    </row>
    <row r="103" spans="1:13" ht="33.75" customHeight="1">
      <c r="A103" s="282"/>
      <c r="B103" s="283"/>
      <c r="C103" s="284"/>
      <c r="D103" s="285"/>
      <c r="E103" s="285"/>
      <c r="F103" s="285"/>
      <c r="G103" s="286"/>
      <c r="H103" s="286"/>
      <c r="I103" s="287"/>
      <c r="J103" s="287"/>
      <c r="K103" s="288"/>
      <c r="L103" s="289"/>
      <c r="M103" s="280"/>
    </row>
    <row r="104" spans="1:13" ht="33.75" customHeight="1">
      <c r="A104" s="282"/>
      <c r="B104" s="283"/>
      <c r="C104" s="284"/>
      <c r="D104" s="285"/>
      <c r="E104" s="285"/>
      <c r="F104" s="285"/>
      <c r="G104" s="286"/>
      <c r="H104" s="286"/>
      <c r="I104" s="287"/>
      <c r="J104" s="287"/>
      <c r="K104" s="288"/>
      <c r="L104" s="289"/>
      <c r="M104" s="280"/>
    </row>
    <row r="105" spans="1:13" ht="33.75" customHeight="1">
      <c r="A105" s="282"/>
      <c r="B105" s="283"/>
      <c r="C105" s="284"/>
      <c r="D105" s="285"/>
      <c r="E105" s="285"/>
      <c r="F105" s="285"/>
      <c r="G105" s="286"/>
      <c r="H105" s="286"/>
      <c r="I105" s="287"/>
      <c r="J105" s="287"/>
      <c r="K105" s="288"/>
      <c r="L105" s="289"/>
      <c r="M105" s="280"/>
    </row>
    <row r="106" spans="1:13" ht="33.75" customHeight="1">
      <c r="A106" s="282"/>
      <c r="B106" s="283"/>
      <c r="C106" s="284"/>
      <c r="D106" s="285"/>
      <c r="E106" s="285"/>
      <c r="F106" s="285"/>
      <c r="G106" s="286"/>
      <c r="H106" s="286"/>
      <c r="I106" s="287"/>
      <c r="J106" s="287"/>
      <c r="K106" s="288"/>
      <c r="L106" s="289"/>
      <c r="M106" s="280"/>
    </row>
    <row r="107" spans="1:13" ht="33.75" customHeight="1">
      <c r="A107" s="282"/>
      <c r="B107" s="283"/>
      <c r="C107" s="284"/>
      <c r="D107" s="285"/>
      <c r="E107" s="285"/>
      <c r="F107" s="285"/>
      <c r="G107" s="286"/>
      <c r="H107" s="286"/>
      <c r="I107" s="287"/>
      <c r="J107" s="287"/>
      <c r="K107" s="288"/>
      <c r="L107" s="289"/>
      <c r="M107" s="280"/>
    </row>
    <row r="108" spans="1:13" ht="33.75" customHeight="1">
      <c r="A108" s="282"/>
      <c r="B108" s="283"/>
      <c r="C108" s="284"/>
      <c r="D108" s="285"/>
      <c r="E108" s="285"/>
      <c r="F108" s="285"/>
      <c r="G108" s="286"/>
      <c r="H108" s="286"/>
      <c r="I108" s="287"/>
      <c r="J108" s="287"/>
      <c r="K108" s="288"/>
      <c r="L108" s="289"/>
      <c r="M108" s="280"/>
    </row>
    <row r="109" spans="1:13" ht="33.75" customHeight="1">
      <c r="A109" s="282"/>
      <c r="B109" s="283"/>
      <c r="C109" s="284"/>
      <c r="D109" s="285"/>
      <c r="E109" s="285"/>
      <c r="F109" s="285"/>
      <c r="G109" s="286"/>
      <c r="H109" s="286"/>
      <c r="I109" s="287"/>
      <c r="J109" s="287"/>
      <c r="K109" s="288"/>
      <c r="L109" s="289"/>
      <c r="M109" s="280"/>
    </row>
    <row r="110" spans="1:13" ht="33.75" customHeight="1">
      <c r="A110" s="282"/>
      <c r="B110" s="283"/>
      <c r="C110" s="284"/>
      <c r="D110" s="285"/>
      <c r="E110" s="285"/>
      <c r="F110" s="285"/>
      <c r="G110" s="286"/>
      <c r="H110" s="286"/>
      <c r="I110" s="287"/>
      <c r="J110" s="287"/>
      <c r="K110" s="288"/>
      <c r="L110" s="289"/>
      <c r="M110" s="280"/>
    </row>
    <row r="111" spans="1:13" ht="33.75" customHeight="1">
      <c r="A111" s="282"/>
      <c r="B111" s="283"/>
      <c r="C111" s="284"/>
      <c r="D111" s="285"/>
      <c r="E111" s="285"/>
      <c r="F111" s="285"/>
      <c r="G111" s="286"/>
      <c r="H111" s="286"/>
      <c r="I111" s="287"/>
      <c r="J111" s="287"/>
      <c r="K111" s="288"/>
      <c r="L111" s="289"/>
      <c r="M111" s="280"/>
    </row>
    <row r="112" spans="1:13" ht="33.75" customHeight="1">
      <c r="A112" s="282"/>
      <c r="B112" s="283"/>
      <c r="C112" s="284"/>
      <c r="D112" s="285"/>
      <c r="E112" s="285"/>
      <c r="F112" s="285"/>
      <c r="G112" s="286"/>
      <c r="H112" s="286"/>
      <c r="I112" s="287"/>
      <c r="J112" s="287"/>
      <c r="K112" s="288"/>
      <c r="L112" s="289"/>
      <c r="M112" s="280"/>
    </row>
    <row r="113" spans="1:13" ht="33.75" customHeight="1">
      <c r="A113" s="282"/>
      <c r="B113" s="283"/>
      <c r="C113" s="284"/>
      <c r="D113" s="285"/>
      <c r="E113" s="285"/>
      <c r="F113" s="285"/>
      <c r="G113" s="286"/>
      <c r="H113" s="286"/>
      <c r="I113" s="287"/>
      <c r="J113" s="287"/>
      <c r="K113" s="288"/>
      <c r="L113" s="289"/>
      <c r="M113" s="280"/>
    </row>
    <row r="114" spans="1:13" ht="33.75" customHeight="1">
      <c r="A114" s="282"/>
      <c r="B114" s="283"/>
      <c r="C114" s="284"/>
      <c r="D114" s="285"/>
      <c r="E114" s="285"/>
      <c r="F114" s="285"/>
      <c r="G114" s="286"/>
      <c r="H114" s="286"/>
      <c r="I114" s="287"/>
      <c r="J114" s="287"/>
      <c r="K114" s="288"/>
      <c r="L114" s="289"/>
      <c r="M114" s="280"/>
    </row>
    <row r="115" spans="1:13" ht="33.75" customHeight="1">
      <c r="A115" s="282"/>
      <c r="B115" s="283"/>
      <c r="C115" s="284"/>
      <c r="D115" s="285"/>
      <c r="E115" s="285"/>
      <c r="F115" s="285"/>
      <c r="G115" s="286"/>
      <c r="H115" s="286"/>
      <c r="I115" s="287"/>
      <c r="J115" s="287"/>
      <c r="K115" s="288"/>
      <c r="L115" s="289"/>
      <c r="M115" s="280"/>
    </row>
    <row r="116" spans="1:13" ht="33.75" customHeight="1">
      <c r="A116" s="282"/>
      <c r="B116" s="283"/>
      <c r="C116" s="284"/>
      <c r="D116" s="285"/>
      <c r="E116" s="285"/>
      <c r="F116" s="285"/>
      <c r="G116" s="286"/>
      <c r="H116" s="286"/>
      <c r="I116" s="287"/>
      <c r="J116" s="287"/>
      <c r="K116" s="288"/>
      <c r="L116" s="289"/>
      <c r="M116" s="280"/>
    </row>
    <row r="117" spans="1:13" ht="33.75" customHeight="1">
      <c r="A117" s="282"/>
      <c r="B117" s="283"/>
      <c r="C117" s="284"/>
      <c r="D117" s="285"/>
      <c r="E117" s="285"/>
      <c r="F117" s="285"/>
      <c r="G117" s="286"/>
      <c r="H117" s="286"/>
      <c r="I117" s="287"/>
      <c r="J117" s="287"/>
      <c r="K117" s="288"/>
      <c r="L117" s="289"/>
      <c r="M117" s="280"/>
    </row>
    <row r="118" spans="1:13" ht="33.75" customHeight="1">
      <c r="A118" s="282"/>
      <c r="B118" s="283"/>
      <c r="C118" s="284"/>
      <c r="D118" s="285"/>
      <c r="E118" s="285"/>
      <c r="F118" s="285"/>
      <c r="G118" s="286"/>
      <c r="H118" s="286"/>
      <c r="I118" s="287"/>
      <c r="J118" s="287"/>
      <c r="K118" s="288"/>
      <c r="L118" s="289"/>
      <c r="M118" s="280"/>
    </row>
    <row r="119" spans="1:13" ht="33.75" customHeight="1">
      <c r="A119" s="282"/>
      <c r="B119" s="283"/>
      <c r="C119" s="284"/>
      <c r="D119" s="285"/>
      <c r="E119" s="285"/>
      <c r="F119" s="285"/>
      <c r="G119" s="286"/>
      <c r="H119" s="286"/>
      <c r="I119" s="287"/>
      <c r="J119" s="287"/>
      <c r="K119" s="288"/>
      <c r="L119" s="289"/>
      <c r="M119" s="280"/>
    </row>
    <row r="120" spans="1:13" ht="33.75" customHeight="1">
      <c r="A120" s="282"/>
      <c r="B120" s="283"/>
      <c r="C120" s="284"/>
      <c r="D120" s="285"/>
      <c r="E120" s="285"/>
      <c r="F120" s="285"/>
      <c r="G120" s="286"/>
      <c r="H120" s="286"/>
      <c r="I120" s="287"/>
      <c r="J120" s="287"/>
      <c r="K120" s="288"/>
      <c r="L120" s="289"/>
      <c r="M120" s="280"/>
    </row>
    <row r="121" spans="1:13" ht="33.75" customHeight="1">
      <c r="A121" s="282"/>
      <c r="B121" s="283"/>
      <c r="C121" s="284"/>
      <c r="D121" s="285"/>
      <c r="E121" s="285"/>
      <c r="F121" s="285"/>
      <c r="G121" s="286"/>
      <c r="H121" s="286"/>
      <c r="I121" s="287"/>
      <c r="J121" s="287"/>
      <c r="K121" s="288"/>
      <c r="L121" s="289"/>
      <c r="M121" s="280"/>
    </row>
    <row r="122" spans="1:13" ht="33.75" customHeight="1">
      <c r="A122" s="282"/>
      <c r="B122" s="283"/>
      <c r="C122" s="284"/>
      <c r="D122" s="285"/>
      <c r="E122" s="285"/>
      <c r="F122" s="285"/>
      <c r="G122" s="286"/>
      <c r="H122" s="286"/>
      <c r="I122" s="287"/>
      <c r="J122" s="287"/>
      <c r="K122" s="288"/>
      <c r="L122" s="289"/>
      <c r="M122" s="280"/>
    </row>
    <row r="123" spans="1:13" ht="33.75" customHeight="1">
      <c r="A123" s="282"/>
      <c r="B123" s="283"/>
      <c r="C123" s="284"/>
      <c r="D123" s="285"/>
      <c r="E123" s="285"/>
      <c r="F123" s="285"/>
      <c r="G123" s="286"/>
      <c r="H123" s="286"/>
      <c r="I123" s="287"/>
      <c r="J123" s="287"/>
      <c r="K123" s="288"/>
      <c r="L123" s="289"/>
      <c r="M123" s="280"/>
    </row>
    <row r="124" spans="1:13" ht="33.75" customHeight="1">
      <c r="A124" s="282"/>
      <c r="B124" s="283"/>
      <c r="C124" s="284"/>
      <c r="D124" s="285"/>
      <c r="E124" s="285"/>
      <c r="F124" s="285"/>
      <c r="G124" s="286"/>
      <c r="H124" s="286"/>
      <c r="I124" s="287"/>
      <c r="J124" s="287"/>
      <c r="K124" s="288"/>
      <c r="L124" s="289"/>
      <c r="M124" s="280"/>
    </row>
    <row r="125" spans="1:13" ht="33.75" customHeight="1">
      <c r="A125" s="282"/>
      <c r="B125" s="283"/>
      <c r="C125" s="284"/>
      <c r="D125" s="285"/>
      <c r="E125" s="285"/>
      <c r="F125" s="285"/>
      <c r="G125" s="286"/>
      <c r="H125" s="286"/>
      <c r="I125" s="287"/>
      <c r="J125" s="287"/>
      <c r="K125" s="288"/>
      <c r="L125" s="289"/>
      <c r="M125" s="280"/>
    </row>
    <row r="126" spans="1:13" ht="33.75" customHeight="1">
      <c r="A126" s="282"/>
      <c r="B126" s="283"/>
      <c r="C126" s="284"/>
      <c r="D126" s="285"/>
      <c r="E126" s="285"/>
      <c r="F126" s="285"/>
      <c r="G126" s="286"/>
      <c r="H126" s="286"/>
      <c r="I126" s="287"/>
      <c r="J126" s="287"/>
      <c r="K126" s="288"/>
      <c r="L126" s="289"/>
      <c r="M126" s="280"/>
    </row>
    <row r="127" spans="1:13" ht="33.75" customHeight="1">
      <c r="A127" s="282"/>
      <c r="B127" s="283"/>
      <c r="C127" s="284"/>
      <c r="D127" s="285"/>
      <c r="E127" s="285"/>
      <c r="F127" s="285"/>
      <c r="G127" s="286"/>
      <c r="H127" s="286"/>
      <c r="I127" s="287"/>
      <c r="J127" s="287"/>
      <c r="K127" s="288"/>
      <c r="L127" s="289"/>
      <c r="M127" s="280"/>
    </row>
    <row r="128" spans="1:13" ht="33.75" customHeight="1">
      <c r="A128" s="282"/>
      <c r="B128" s="283"/>
      <c r="C128" s="284"/>
      <c r="D128" s="285"/>
      <c r="E128" s="285"/>
      <c r="F128" s="285"/>
      <c r="G128" s="286"/>
      <c r="H128" s="286"/>
      <c r="I128" s="287"/>
      <c r="J128" s="287"/>
      <c r="K128" s="288"/>
      <c r="L128" s="289"/>
      <c r="M128" s="280"/>
    </row>
    <row r="129" spans="1:19" ht="33.75" customHeight="1">
      <c r="A129" s="282"/>
      <c r="B129" s="283"/>
      <c r="C129" s="284"/>
      <c r="D129" s="285"/>
      <c r="E129" s="285"/>
      <c r="F129" s="285"/>
      <c r="G129" s="286"/>
      <c r="H129" s="286"/>
      <c r="I129" s="287"/>
      <c r="J129" s="287"/>
      <c r="K129" s="288"/>
      <c r="L129" s="289"/>
      <c r="M129" s="280"/>
    </row>
    <row r="130" spans="1:19" ht="33.75" customHeight="1">
      <c r="A130" s="282"/>
      <c r="B130" s="283"/>
      <c r="C130" s="284"/>
      <c r="D130" s="285"/>
      <c r="E130" s="285"/>
      <c r="F130" s="285"/>
      <c r="G130" s="286"/>
      <c r="H130" s="286"/>
      <c r="I130" s="287"/>
      <c r="J130" s="287"/>
      <c r="K130" s="288"/>
      <c r="L130" s="289"/>
      <c r="M130" s="280"/>
    </row>
    <row r="131" spans="1:19" ht="33.75" customHeight="1">
      <c r="A131" s="282"/>
      <c r="B131" s="283"/>
      <c r="C131" s="284"/>
      <c r="D131" s="285"/>
      <c r="E131" s="285"/>
      <c r="F131" s="285"/>
      <c r="G131" s="286"/>
      <c r="H131" s="286"/>
      <c r="I131" s="287"/>
      <c r="J131" s="287"/>
      <c r="K131" s="288"/>
      <c r="L131" s="289"/>
      <c r="M131" s="280"/>
    </row>
    <row r="132" spans="1:19" ht="33.75" customHeight="1">
      <c r="A132" s="282"/>
      <c r="B132" s="283"/>
      <c r="C132" s="284"/>
      <c r="D132" s="285"/>
      <c r="E132" s="285"/>
      <c r="F132" s="285"/>
      <c r="G132" s="286"/>
      <c r="H132" s="286"/>
      <c r="I132" s="287"/>
      <c r="J132" s="287"/>
      <c r="K132" s="288"/>
      <c r="L132" s="289"/>
      <c r="M132" s="280"/>
    </row>
    <row r="133" spans="1:19" ht="33.75" customHeight="1">
      <c r="A133" s="282"/>
      <c r="B133" s="283"/>
      <c r="C133" s="284"/>
      <c r="D133" s="285"/>
      <c r="E133" s="285"/>
      <c r="F133" s="285"/>
      <c r="G133" s="286"/>
      <c r="H133" s="286"/>
      <c r="I133" s="287"/>
      <c r="J133" s="287"/>
      <c r="K133" s="288"/>
      <c r="L133" s="289"/>
      <c r="M133" s="280"/>
    </row>
    <row r="134" spans="1:19" ht="33.75" customHeight="1">
      <c r="A134" s="282"/>
      <c r="B134" s="283"/>
      <c r="C134" s="284"/>
      <c r="D134" s="285"/>
      <c r="E134" s="285"/>
      <c r="F134" s="285"/>
      <c r="G134" s="286"/>
      <c r="H134" s="286"/>
      <c r="I134" s="287"/>
      <c r="J134" s="287"/>
      <c r="K134" s="288"/>
      <c r="L134" s="289"/>
      <c r="M134" s="280"/>
    </row>
    <row r="135" spans="1:19" ht="33.75" customHeight="1">
      <c r="A135" s="282"/>
      <c r="B135" s="283"/>
      <c r="C135" s="284"/>
      <c r="D135" s="285"/>
      <c r="E135" s="285"/>
      <c r="F135" s="285"/>
      <c r="G135" s="286"/>
      <c r="H135" s="286"/>
      <c r="I135" s="287"/>
      <c r="J135" s="287"/>
      <c r="K135" s="288"/>
      <c r="L135" s="289"/>
      <c r="M135" s="280"/>
    </row>
    <row r="136" spans="1:19" ht="33.75" customHeight="1">
      <c r="A136" s="282"/>
      <c r="B136" s="283"/>
      <c r="C136" s="284"/>
      <c r="D136" s="285"/>
      <c r="E136" s="285"/>
      <c r="F136" s="285"/>
      <c r="G136" s="286"/>
      <c r="H136" s="286"/>
      <c r="I136" s="287"/>
      <c r="J136" s="287"/>
      <c r="K136" s="288"/>
      <c r="L136" s="289"/>
      <c r="M136" s="280"/>
    </row>
    <row r="137" spans="1:19" ht="33.75" customHeight="1">
      <c r="A137" s="282"/>
      <c r="B137" s="283"/>
      <c r="C137" s="284"/>
      <c r="D137" s="285"/>
      <c r="E137" s="285"/>
      <c r="F137" s="285"/>
      <c r="G137" s="286"/>
      <c r="H137" s="286"/>
      <c r="I137" s="287"/>
      <c r="J137" s="287"/>
      <c r="K137" s="288"/>
      <c r="L137" s="289"/>
      <c r="M137" s="280"/>
    </row>
    <row r="138" spans="1:19" ht="33.75" customHeight="1">
      <c r="A138" s="282"/>
      <c r="B138" s="283"/>
      <c r="C138" s="284"/>
      <c r="D138" s="285"/>
      <c r="E138" s="285"/>
      <c r="F138" s="285"/>
      <c r="G138" s="286"/>
      <c r="H138" s="286"/>
      <c r="I138" s="287"/>
      <c r="J138" s="287"/>
      <c r="K138" s="288"/>
      <c r="L138" s="289"/>
      <c r="M138" s="280"/>
    </row>
    <row r="139" spans="1:19" ht="33.75" customHeight="1">
      <c r="A139" s="282"/>
      <c r="B139" s="283"/>
      <c r="C139" s="284"/>
      <c r="D139" s="285"/>
      <c r="E139" s="285"/>
      <c r="F139" s="285"/>
      <c r="G139" s="286"/>
      <c r="H139" s="286"/>
      <c r="I139" s="287"/>
      <c r="J139" s="287"/>
      <c r="K139" s="288"/>
      <c r="L139" s="289"/>
      <c r="M139" s="280"/>
    </row>
    <row r="140" spans="1:19" ht="33.75" customHeight="1">
      <c r="A140" s="282"/>
      <c r="B140" s="283"/>
      <c r="C140" s="284"/>
      <c r="D140" s="285"/>
      <c r="E140" s="285"/>
      <c r="F140" s="285"/>
      <c r="G140" s="286"/>
      <c r="H140" s="286"/>
      <c r="I140" s="287"/>
      <c r="J140" s="287"/>
      <c r="K140" s="288"/>
      <c r="L140" s="289"/>
      <c r="M140" s="280"/>
    </row>
    <row r="141" spans="1:19" ht="33.75" customHeight="1">
      <c r="A141" s="282"/>
      <c r="B141" s="283"/>
      <c r="C141" s="284"/>
      <c r="D141" s="285"/>
      <c r="E141" s="285"/>
      <c r="F141" s="285"/>
      <c r="G141" s="286"/>
      <c r="H141" s="286"/>
      <c r="I141" s="287"/>
      <c r="J141" s="287"/>
      <c r="K141" s="288"/>
      <c r="L141" s="289"/>
      <c r="M141" s="280"/>
    </row>
    <row r="142" spans="1:19" s="237" customFormat="1" ht="33.75" customHeight="1">
      <c r="A142" s="390" t="s">
        <v>365</v>
      </c>
      <c r="B142" s="390"/>
      <c r="C142" s="390"/>
      <c r="D142" s="390"/>
      <c r="E142" s="390"/>
      <c r="F142" s="390"/>
      <c r="G142" s="390"/>
      <c r="H142" s="390"/>
      <c r="I142" s="390"/>
      <c r="J142" s="390"/>
      <c r="K142" s="390"/>
      <c r="L142" s="390"/>
      <c r="M142" s="390"/>
      <c r="N142" s="390"/>
      <c r="O142" s="390"/>
      <c r="P142" s="390"/>
      <c r="Q142" s="390"/>
      <c r="R142" s="390"/>
      <c r="S142" s="390"/>
    </row>
    <row r="143" spans="1:19" s="237" customFormat="1" ht="33.75" customHeight="1">
      <c r="A143" s="385" t="s">
        <v>366</v>
      </c>
      <c r="B143" s="385"/>
      <c r="C143" s="385"/>
      <c r="D143" s="385"/>
      <c r="E143" s="385"/>
      <c r="F143" s="385"/>
      <c r="G143" s="385"/>
      <c r="H143" s="385"/>
      <c r="I143" s="385"/>
      <c r="J143" s="385"/>
      <c r="K143" s="385"/>
      <c r="L143" s="385"/>
      <c r="M143" s="385"/>
      <c r="N143" s="385"/>
      <c r="O143" s="385"/>
      <c r="P143" s="385"/>
      <c r="Q143" s="385"/>
      <c r="R143" s="385"/>
      <c r="S143" s="385"/>
    </row>
    <row r="144" spans="1:19" s="238" customFormat="1" ht="27.75" customHeight="1">
      <c r="A144" s="386" t="s">
        <v>367</v>
      </c>
      <c r="B144" s="386"/>
      <c r="C144" s="386"/>
      <c r="D144" s="386"/>
      <c r="E144" s="386"/>
      <c r="F144" s="386"/>
      <c r="G144" s="386"/>
      <c r="H144" s="386"/>
      <c r="I144" s="386"/>
      <c r="J144" s="386"/>
      <c r="K144" s="386"/>
      <c r="L144" s="386"/>
      <c r="M144" s="386"/>
      <c r="N144" s="386"/>
      <c r="O144" s="386"/>
      <c r="P144" s="386"/>
      <c r="Q144" s="386"/>
      <c r="R144" s="386"/>
      <c r="S144" s="386"/>
    </row>
    <row r="145" spans="1:19" s="237" customFormat="1" ht="33.75" customHeight="1">
      <c r="A145" s="387" t="s">
        <v>368</v>
      </c>
      <c r="B145" s="387"/>
      <c r="C145" s="387"/>
      <c r="D145" s="387"/>
      <c r="E145" s="387"/>
      <c r="F145" s="387"/>
      <c r="G145" s="387"/>
      <c r="H145" s="387"/>
      <c r="I145" s="387"/>
      <c r="J145" s="387"/>
      <c r="K145" s="387"/>
      <c r="L145" s="387"/>
      <c r="M145" s="387"/>
      <c r="N145" s="387"/>
      <c r="O145" s="387"/>
      <c r="P145" s="387"/>
      <c r="Q145" s="387"/>
      <c r="R145" s="387"/>
      <c r="S145" s="387"/>
    </row>
  </sheetData>
  <mergeCells count="7">
    <mergeCell ref="A143:S143"/>
    <mergeCell ref="A144:S144"/>
    <mergeCell ref="A145:S145"/>
    <mergeCell ref="A2:K2"/>
    <mergeCell ref="J3:K3"/>
    <mergeCell ref="B6:E6"/>
    <mergeCell ref="A142:S142"/>
  </mergeCells>
  <pageMargins left="0.5" right="0.25" top="0.5" bottom="0.5" header="0.25" footer="0.25"/>
  <pageSetup paperSize="9" orientation="landscape" r:id="rId1"/>
  <headerFooter alignWithMargins="0">
    <oddFooter>&amp;C&amp;"t,Regular"&amp;9&amp;P - KK-NM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Phuong phap</vt:lpstr>
      <vt:lpstr>DGL</vt:lpstr>
      <vt:lpstr>LDKT</vt:lpstr>
      <vt:lpstr>Dcu</vt:lpstr>
      <vt:lpstr>VL</vt:lpstr>
      <vt:lpstr>TB</vt:lpstr>
      <vt:lpstr>TH dongia</vt:lpstr>
      <vt:lpstr>'Phuong phap'!Print_Titles</vt:lpstr>
      <vt:lpstr>'TH dongia'!Print_Titles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cp:lastModifiedBy>
  <dcterms:created xsi:type="dcterms:W3CDTF">2015-07-27T12:37:41Z</dcterms:created>
  <dcterms:modified xsi:type="dcterms:W3CDTF">2018-04-05T08:04:25Z</dcterms:modified>
</cp:coreProperties>
</file>